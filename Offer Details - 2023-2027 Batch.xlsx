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ffers" sheetId="1" r:id="rId5"/>
    <sheet state="visible" name="Sheet5" sheetId="2" r:id="rId6"/>
    <sheet state="visible" name="Sheet7" sheetId="3" r:id="rId7"/>
    <sheet state="hidden" name="Summary" sheetId="4" r:id="rId8"/>
    <sheet state="visible" name="Company List" sheetId="5" r:id="rId9"/>
  </sheets>
  <definedNames/>
  <calcPr/>
</workbook>
</file>

<file path=xl/sharedStrings.xml><?xml version="1.0" encoding="utf-8"?>
<sst xmlns="http://schemas.openxmlformats.org/spreadsheetml/2006/main" count="5951" uniqueCount="1035">
  <si>
    <t>Roll No</t>
  </si>
  <si>
    <t>S.No</t>
  </si>
  <si>
    <t>Name</t>
  </si>
  <si>
    <t>Salary</t>
  </si>
  <si>
    <t>Role</t>
  </si>
  <si>
    <t>Skill Sets</t>
  </si>
  <si>
    <t>7376231BM130</t>
  </si>
  <si>
    <t>NITHISRI K A</t>
  </si>
  <si>
    <t>6.5 to 8.0 LPA</t>
  </si>
  <si>
    <t>Register No</t>
  </si>
  <si>
    <t xml:space="preserve">AI / Data Analyst </t>
  </si>
  <si>
    <t>Analyse data and basic AI &amp; ML concepts, Statistics , SQL, Python and (Pandas), Projects</t>
  </si>
  <si>
    <t>7376232AD130</t>
  </si>
  <si>
    <t>Department</t>
  </si>
  <si>
    <t>DHARSHINI S</t>
  </si>
  <si>
    <t>7376232CB109</t>
  </si>
  <si>
    <t>Company Name</t>
  </si>
  <si>
    <t>DHARNESH K</t>
  </si>
  <si>
    <t>7376232CB136</t>
  </si>
  <si>
    <t>Salary Package (LPA)</t>
  </si>
  <si>
    <t>PRANAV BALAJI P MA</t>
  </si>
  <si>
    <t>Internship Status</t>
  </si>
  <si>
    <t>7376231CS245</t>
  </si>
  <si>
    <t>NAVANEETHA KRISHNAN S</t>
  </si>
  <si>
    <t>10 to 12 LPA</t>
  </si>
  <si>
    <t>Internship Mode</t>
  </si>
  <si>
    <t>AI Researcher / ML Engineer</t>
  </si>
  <si>
    <t>Type</t>
  </si>
  <si>
    <t>Allowing Status</t>
  </si>
  <si>
    <t>AI foundations, Practical ML Skills, Engineering Ability and Projects and Problem solving</t>
  </si>
  <si>
    <t>Email ID</t>
  </si>
  <si>
    <t>7376232AD275</t>
  </si>
  <si>
    <t>UDHAYAKARTHICK N</t>
  </si>
  <si>
    <t>Student Contact No</t>
  </si>
  <si>
    <t>Organized by</t>
  </si>
  <si>
    <t>Offer Entry Date</t>
  </si>
  <si>
    <t>Joined Date</t>
  </si>
  <si>
    <t>Offered Date</t>
  </si>
  <si>
    <t>Offer reference no.</t>
  </si>
  <si>
    <t>Is that Interncum Placement Offer?</t>
  </si>
  <si>
    <t>Appoinment Letter Date</t>
  </si>
  <si>
    <t>Appointment Letter reference no.</t>
  </si>
  <si>
    <t>Appoinment Letter - Proof Link</t>
  </si>
  <si>
    <t>Offer - Proof Link</t>
  </si>
  <si>
    <t>Mail Proof</t>
  </si>
  <si>
    <t>Internship Letter</t>
  </si>
  <si>
    <t>Internship Cum Offer</t>
  </si>
  <si>
    <t>Dept</t>
  </si>
  <si>
    <t>Count</t>
  </si>
  <si>
    <t>ARTIFICIAL INTELLIGENCE AND DATA SCIENCE</t>
  </si>
  <si>
    <t>ARTIFICIAL INTELLIGENCE AND MACHINE LEARNING</t>
  </si>
  <si>
    <t>COMPUTER SCIENCE AND BUSINESS SYSTEMS</t>
  </si>
  <si>
    <t>COMPUTER SCIENCE AND DESIGN</t>
  </si>
  <si>
    <t>COMPUTER SCIENCE AND ENGINEERING</t>
  </si>
  <si>
    <t>7376232AD141</t>
  </si>
  <si>
    <t>COMPUTER TECHNOLOGY</t>
  </si>
  <si>
    <t>INFORMATION SCIENCE AND ENGINEERING</t>
  </si>
  <si>
    <t>INFORMATION TECHNOLOGY</t>
  </si>
  <si>
    <t>Conversight.Ai</t>
  </si>
  <si>
    <t>Joined</t>
  </si>
  <si>
    <t>Offline</t>
  </si>
  <si>
    <t>ELECTRONICS AND COMMUNICATION ENGINEERING</t>
  </si>
  <si>
    <t>ITP</t>
  </si>
  <si>
    <t>Allow for Double the package</t>
  </si>
  <si>
    <t>ELECTRICAL AND ELECTRONICS ENGINEERING</t>
  </si>
  <si>
    <t>10 LPA and above</t>
  </si>
  <si>
    <t>ELECTRONICS AND INSTRUMENTATION ENGINEERING</t>
  </si>
  <si>
    <t>7 - 10 LPA</t>
  </si>
  <si>
    <t>6-7 LPA</t>
  </si>
  <si>
    <t>5-6 LPA</t>
  </si>
  <si>
    <t>4-5 LPA</t>
  </si>
  <si>
    <t>T&amp;P</t>
  </si>
  <si>
    <t>26.12.2025</t>
  </si>
  <si>
    <t>3-4 LPA</t>
  </si>
  <si>
    <t>05.01.2026</t>
  </si>
  <si>
    <t>YES</t>
  </si>
  <si>
    <t>MECHANICAL ENGINEERING</t>
  </si>
  <si>
    <t>MECHATRONICS ENGINEERING</t>
  </si>
  <si>
    <t>7376232AD155</t>
  </si>
  <si>
    <t>CIVIL ENGINEERING</t>
  </si>
  <si>
    <t>AGRICULTURE ENGINEERING</t>
  </si>
  <si>
    <t>7376232IT114</t>
  </si>
  <si>
    <t>BIOTECHNOLOGY</t>
  </si>
  <si>
    <t>BIOMEDICAL ENGINEERING</t>
  </si>
  <si>
    <t>FOOD TECHNOLOGY</t>
  </si>
  <si>
    <t>7376232AD213</t>
  </si>
  <si>
    <t>FASHION TECHNOLOGY</t>
  </si>
  <si>
    <t>M.E - COMPUTER SCIENCE AND ENGINEERING</t>
  </si>
  <si>
    <t>Advanced Clothing Concepts</t>
  </si>
  <si>
    <t>M.E - MECHANICAL ENGINEERING</t>
  </si>
  <si>
    <t>EXL Service</t>
  </si>
  <si>
    <t>GoML</t>
  </si>
  <si>
    <t xml:space="preserve">Bi3 Technologies </t>
  </si>
  <si>
    <t>7376232IT221</t>
  </si>
  <si>
    <t>Cartrabbit</t>
  </si>
  <si>
    <t>Aerele Technologies</t>
  </si>
  <si>
    <t>Integra Connect</t>
  </si>
  <si>
    <t>Multicoreware</t>
  </si>
  <si>
    <t>Glowlogics</t>
  </si>
  <si>
    <t>Allow</t>
  </si>
  <si>
    <t>Bootlabs</t>
  </si>
  <si>
    <t>Cloudvice</t>
  </si>
  <si>
    <t>Ahill Apparels</t>
  </si>
  <si>
    <t>Affordmed</t>
  </si>
  <si>
    <t>JUSPAY</t>
  </si>
  <si>
    <t>Reliance</t>
  </si>
  <si>
    <t>IDP Education</t>
  </si>
  <si>
    <t>7376231CD121</t>
  </si>
  <si>
    <t>Cognizant</t>
  </si>
  <si>
    <t>Aizentify</t>
  </si>
  <si>
    <t>7376231CS318</t>
  </si>
  <si>
    <t>Rocket India (Mr. Cooper)</t>
  </si>
  <si>
    <t>MBA - SCHOOL OF MANAGEMENT STUDIES</t>
  </si>
  <si>
    <t>Infineon Technologies</t>
  </si>
  <si>
    <t>EQREV</t>
  </si>
  <si>
    <t>Excelacom Technologies</t>
  </si>
  <si>
    <t>Aspire Biozymes</t>
  </si>
  <si>
    <t>NETGEAR</t>
  </si>
  <si>
    <t>Survey Sparrow</t>
  </si>
  <si>
    <t>Tessolve</t>
  </si>
  <si>
    <t>Total</t>
  </si>
  <si>
    <t>Mistral Solutions</t>
  </si>
  <si>
    <t>Forvia Hella</t>
  </si>
  <si>
    <t>Bannari Amman Public School</t>
  </si>
  <si>
    <t>PayPal</t>
  </si>
  <si>
    <t>TCS</t>
  </si>
  <si>
    <t>The Alter Office</t>
  </si>
  <si>
    <t>7376231SE116</t>
  </si>
  <si>
    <t xml:space="preserve">Orangewood </t>
  </si>
  <si>
    <t>HCL</t>
  </si>
  <si>
    <t>BPL Medical Technologies</t>
  </si>
  <si>
    <t>Presidio</t>
  </si>
  <si>
    <t>Soliton</t>
  </si>
  <si>
    <t>VISTEON</t>
  </si>
  <si>
    <t>Online</t>
  </si>
  <si>
    <t>Zohocorp</t>
  </si>
  <si>
    <t>CORE</t>
  </si>
  <si>
    <t>Shakra Innovations</t>
  </si>
  <si>
    <t>24.01.2026</t>
  </si>
  <si>
    <t>Hexaware</t>
  </si>
  <si>
    <t>Confluence Valley Flavors</t>
  </si>
  <si>
    <t>7376231EC158</t>
  </si>
  <si>
    <t>TAEGUTEC</t>
  </si>
  <si>
    <t>Killis Bird</t>
  </si>
  <si>
    <t>Cotton Blossom</t>
  </si>
  <si>
    <t>Workhall</t>
  </si>
  <si>
    <t>Lakshmi Machine Works</t>
  </si>
  <si>
    <t>Dataplatr</t>
  </si>
  <si>
    <t>ZeAI Soft</t>
  </si>
  <si>
    <t>Leaf Corporation</t>
  </si>
  <si>
    <t>EnSmart Controls</t>
  </si>
  <si>
    <t>Lucid Imaging</t>
  </si>
  <si>
    <t>Foresight Software Solutions</t>
  </si>
  <si>
    <t xml:space="preserve">MGM-Varvel Power Transmission </t>
  </si>
  <si>
    <t xml:space="preserve">GAC Logistics </t>
  </si>
  <si>
    <t>Caterpillar</t>
  </si>
  <si>
    <t>Motherson</t>
  </si>
  <si>
    <t>Gighz</t>
  </si>
  <si>
    <t>Rajsriya Automotive</t>
  </si>
  <si>
    <t>Grid Sync</t>
  </si>
  <si>
    <t>Codemagen</t>
  </si>
  <si>
    <t>RapidData Technologies</t>
  </si>
  <si>
    <t>Harita Techserv</t>
  </si>
  <si>
    <t>SWELECT</t>
  </si>
  <si>
    <t>HomeLines Textiles</t>
  </si>
  <si>
    <t>Tridots</t>
  </si>
  <si>
    <t>Jayanti Herbs &amp; Spice</t>
  </si>
  <si>
    <t>Tringapps</t>
  </si>
  <si>
    <t>JAYEM Automotives</t>
  </si>
  <si>
    <t>VST TILLERS TRACTORS</t>
  </si>
  <si>
    <t>Kovai Maruthi Papers &amp; Boards</t>
  </si>
  <si>
    <t>L.G. Balakrishnan &amp; Bros Ltd.</t>
  </si>
  <si>
    <t>7376231EC140</t>
  </si>
  <si>
    <t>7376231CS107</t>
  </si>
  <si>
    <t>Dont Allow</t>
  </si>
  <si>
    <t>7376232AD252</t>
  </si>
  <si>
    <t>Mayflower Enterprises</t>
  </si>
  <si>
    <t>Mechatronics Control and Equipments</t>
  </si>
  <si>
    <t>7376232AD195</t>
  </si>
  <si>
    <t>Mobitech</t>
  </si>
  <si>
    <t>ORCHID Pharma</t>
  </si>
  <si>
    <t>Pharmag instruments</t>
  </si>
  <si>
    <t>RK Ecran</t>
  </si>
  <si>
    <t>Robonetics Automation Solutions</t>
  </si>
  <si>
    <t>Royal Automation</t>
  </si>
  <si>
    <t>7376231EC192</t>
  </si>
  <si>
    <t>RSJ Inspection</t>
  </si>
  <si>
    <t>S.R.K. Garments</t>
  </si>
  <si>
    <t xml:space="preserve">Sapphire IMS </t>
  </si>
  <si>
    <t>Schaeffler India</t>
  </si>
  <si>
    <t>Schnell Energy Equipments</t>
  </si>
  <si>
    <t>Shanthi Gears</t>
  </si>
  <si>
    <t>Slicktronix Medisens</t>
  </si>
  <si>
    <t>7376232AD101</t>
  </si>
  <si>
    <t>Sublime Structures</t>
  </si>
  <si>
    <t>Surinova</t>
  </si>
  <si>
    <t>Tata Elxsi</t>
  </si>
  <si>
    <t>07.02.2026</t>
  </si>
  <si>
    <t>Ultra Engineering Works</t>
  </si>
  <si>
    <t>09.02.2026</t>
  </si>
  <si>
    <t>Value Health</t>
  </si>
  <si>
    <t>Vindsol</t>
  </si>
  <si>
    <t>Virtual Maze</t>
  </si>
  <si>
    <t>VISHWAA APPARELS</t>
  </si>
  <si>
    <t>Viswa Envirotech</t>
  </si>
  <si>
    <t>Yuvi Labs and Technologies</t>
  </si>
  <si>
    <t>7376232AD169</t>
  </si>
  <si>
    <t>7376232AL112</t>
  </si>
  <si>
    <t>7376232AL139</t>
  </si>
  <si>
    <t>7376232AL151</t>
  </si>
  <si>
    <t>7376232AL170</t>
  </si>
  <si>
    <t>7376232CB118</t>
  </si>
  <si>
    <t>7376232IT272</t>
  </si>
  <si>
    <t>7376231CS250</t>
  </si>
  <si>
    <t>7376231CS329</t>
  </si>
  <si>
    <t>7376231EC106</t>
  </si>
  <si>
    <t>7376232IT203</t>
  </si>
  <si>
    <t>7376231CS347</t>
  </si>
  <si>
    <t>Block</t>
  </si>
  <si>
    <t>7376231CS345</t>
  </si>
  <si>
    <t>24.02.2026</t>
  </si>
  <si>
    <t>02.03.2026</t>
  </si>
  <si>
    <t>7376231CS128</t>
  </si>
  <si>
    <t>DAKSHATA.pdf</t>
  </si>
  <si>
    <t>7376232FT108</t>
  </si>
  <si>
    <t>28.02.2026</t>
  </si>
  <si>
    <t>05.03.2026</t>
  </si>
  <si>
    <t>7376232FT111</t>
  </si>
  <si>
    <t>7376232FT117</t>
  </si>
  <si>
    <t>7376232FT118</t>
  </si>
  <si>
    <t>7376232FT119</t>
  </si>
  <si>
    <t>7376231CS112</t>
  </si>
  <si>
    <t>11.03.2026</t>
  </si>
  <si>
    <t>7376231EC130</t>
  </si>
  <si>
    <t>7376231CS130</t>
  </si>
  <si>
    <t>7376231EC133</t>
  </si>
  <si>
    <t>7376232CT109</t>
  </si>
  <si>
    <t>7376241CS509</t>
  </si>
  <si>
    <t>7376232FT105</t>
  </si>
  <si>
    <t xml:space="preserve"> Bassh Clothing</t>
  </si>
  <si>
    <t>DEPT</t>
  </si>
  <si>
    <t>13.03.2026</t>
  </si>
  <si>
    <t>7376231EI134</t>
  </si>
  <si>
    <t>16.03.2026</t>
  </si>
  <si>
    <t>Prasanna kumar Internship-Employment offer letter.pdf</t>
  </si>
  <si>
    <t>7376231EC333</t>
  </si>
  <si>
    <t>Yashweth Raj Internship-Employement offer letter.pdf</t>
  </si>
  <si>
    <t>7376231MZ133</t>
  </si>
  <si>
    <t>Praveen Internship-Employement offer letter.pdf</t>
  </si>
  <si>
    <t>7376231EE117</t>
  </si>
  <si>
    <t>Gowtham Internship-Employement offer letter.pdf</t>
  </si>
  <si>
    <t>7376231EC200</t>
  </si>
  <si>
    <t>Not Joined</t>
  </si>
  <si>
    <t>Luckshana Internship-Employment offer letter.pdf</t>
  </si>
  <si>
    <t>7376232AD135</t>
  </si>
  <si>
    <t>30.03.2026</t>
  </si>
  <si>
    <t>7376231CS222</t>
  </si>
  <si>
    <t>7376232AD220</t>
  </si>
  <si>
    <t>7376232IT225</t>
  </si>
  <si>
    <t>7376232AD189</t>
  </si>
  <si>
    <t>7376231EC215</t>
  </si>
  <si>
    <t>01.04.2026</t>
  </si>
  <si>
    <t>7376232AD205</t>
  </si>
  <si>
    <t>7376232IT210</t>
  </si>
  <si>
    <t>7376231CS335</t>
  </si>
  <si>
    <t>7376231CS146</t>
  </si>
  <si>
    <t>Don't Allow</t>
  </si>
  <si>
    <t>04.04.2026</t>
  </si>
  <si>
    <t>7376232IT141</t>
  </si>
  <si>
    <t>7376232AD193</t>
  </si>
  <si>
    <t>7376231CS293</t>
  </si>
  <si>
    <t>7376232IT143</t>
  </si>
  <si>
    <t>10.04.2026</t>
  </si>
  <si>
    <t>7376231CS333</t>
  </si>
  <si>
    <t>7376232AD191</t>
  </si>
  <si>
    <t>7376231MZ114</t>
  </si>
  <si>
    <t>15.04.2026</t>
  </si>
  <si>
    <t>AI Data Analyst</t>
  </si>
  <si>
    <t>17.04.2026</t>
  </si>
  <si>
    <t>7376231BM130 - EXL Service.pdf</t>
  </si>
  <si>
    <t>AI Engineer</t>
  </si>
  <si>
    <t>7376231CS245 - EXL Service.pdf</t>
  </si>
  <si>
    <t>7376232AD130 - EXL Service.pdf</t>
  </si>
  <si>
    <t>7376232AD275 - EXL Service.pdf</t>
  </si>
  <si>
    <t>7376232CB109 - EXL Service.pdf</t>
  </si>
  <si>
    <t>7376232CB136 - EXL Service.pdf</t>
  </si>
  <si>
    <t>7376231EC242</t>
  </si>
  <si>
    <t>Embedded Firmware Engineer</t>
  </si>
  <si>
    <t>S.Lab</t>
  </si>
  <si>
    <t>08.05.2026</t>
  </si>
  <si>
    <t>7376231EC188</t>
  </si>
  <si>
    <t>23.05.2026</t>
  </si>
  <si>
    <t>7376231CS178</t>
  </si>
  <si>
    <t>01.06.2026</t>
  </si>
  <si>
    <t>7376232AD157</t>
  </si>
  <si>
    <t>7376232AD164</t>
  </si>
  <si>
    <t>7376232AL143</t>
  </si>
  <si>
    <t>7376232AD202</t>
  </si>
  <si>
    <t>7376231CS252</t>
  </si>
  <si>
    <t>7376232CT134</t>
  </si>
  <si>
    <t>7376232AD253</t>
  </si>
  <si>
    <t>7376231CS317</t>
  </si>
  <si>
    <t>7376232AD280</t>
  </si>
  <si>
    <t>03.06.2026</t>
  </si>
  <si>
    <t>7376232BT109</t>
  </si>
  <si>
    <t>04.06.2026</t>
  </si>
  <si>
    <t>7376232IT175</t>
  </si>
  <si>
    <t>05.06.2026</t>
  </si>
  <si>
    <t>7376231CS256</t>
  </si>
  <si>
    <t>7376232CT133</t>
  </si>
  <si>
    <t>7376231EI147</t>
  </si>
  <si>
    <t>7376231CD118</t>
  </si>
  <si>
    <t>08.06.2026</t>
  </si>
  <si>
    <t>7376232CB159</t>
  </si>
  <si>
    <t>10.06.2026</t>
  </si>
  <si>
    <t>7376231CS116</t>
  </si>
  <si>
    <t>7376231CS227</t>
  </si>
  <si>
    <t>7376231MZ122</t>
  </si>
  <si>
    <t>7376231CS208</t>
  </si>
  <si>
    <t>16.06.2026</t>
  </si>
  <si>
    <t>Kishore Kumaar S R signed.pdf</t>
  </si>
  <si>
    <t>7376231CS310</t>
  </si>
  <si>
    <t>SIVABALAN P signed.pdf</t>
  </si>
  <si>
    <t>7376231EC174</t>
  </si>
  <si>
    <t>17.06.2026</t>
  </si>
  <si>
    <t>7376231EC174-Bi3.pdf</t>
  </si>
  <si>
    <t>7376231CS148</t>
  </si>
  <si>
    <t>7376231CE123</t>
  </si>
  <si>
    <t>18.06.2026</t>
  </si>
  <si>
    <t>7376231CE102</t>
  </si>
  <si>
    <t>7376231CE112</t>
  </si>
  <si>
    <t>7376231CE107</t>
  </si>
  <si>
    <t>7376231CE125</t>
  </si>
  <si>
    <t>7376232AL211</t>
  </si>
  <si>
    <t>20.06.2026</t>
  </si>
  <si>
    <t>7376232AL211 - The Alter Office.pdf</t>
  </si>
  <si>
    <t>7376231CD102</t>
  </si>
  <si>
    <t>7376231CD102-The Alter Office.pdf</t>
  </si>
  <si>
    <t>7376231EC290</t>
  </si>
  <si>
    <t>23.06.2026</t>
  </si>
  <si>
    <t>01.07.2026</t>
  </si>
  <si>
    <t>7376231CS140</t>
  </si>
  <si>
    <t>7376232AD242</t>
  </si>
  <si>
    <t>7376231CS273</t>
  </si>
  <si>
    <t>7376231EC323</t>
  </si>
  <si>
    <t>7376231EC220</t>
  </si>
  <si>
    <t>7376231EC325</t>
  </si>
  <si>
    <t>7376231EI139</t>
  </si>
  <si>
    <t>30.06.2026</t>
  </si>
  <si>
    <t>7376231MZ121</t>
  </si>
  <si>
    <t>7376231MZ108</t>
  </si>
  <si>
    <t>7376241EI504</t>
  </si>
  <si>
    <t>7376241EI503</t>
  </si>
  <si>
    <t>7376231EI133</t>
  </si>
  <si>
    <t>7376231EI108</t>
  </si>
  <si>
    <t>7376231EI118</t>
  </si>
  <si>
    <t>7376231EI120</t>
  </si>
  <si>
    <t>7376241EI501</t>
  </si>
  <si>
    <t>7376231EI156</t>
  </si>
  <si>
    <t>7376231MZ146</t>
  </si>
  <si>
    <t>7376231EI151</t>
  </si>
  <si>
    <t>7376231MZ104</t>
  </si>
  <si>
    <t>02.07.2026</t>
  </si>
  <si>
    <t>7376231EE104</t>
  </si>
  <si>
    <t>04.07.2026</t>
  </si>
  <si>
    <t>7376231EE114</t>
  </si>
  <si>
    <t>7376231EE128</t>
  </si>
  <si>
    <t>7376231EE140</t>
  </si>
  <si>
    <t>7376231EE149</t>
  </si>
  <si>
    <t>7376231EE142</t>
  </si>
  <si>
    <t>7376231ME104</t>
  </si>
  <si>
    <t>7376231ME111</t>
  </si>
  <si>
    <t>7376231ME121</t>
  </si>
  <si>
    <t>7376231ME123</t>
  </si>
  <si>
    <t>7376231ME127</t>
  </si>
  <si>
    <t>7376231ME128</t>
  </si>
  <si>
    <t>7376231ME129</t>
  </si>
  <si>
    <t>7376231ME134</t>
  </si>
  <si>
    <t>7376231ME135</t>
  </si>
  <si>
    <t>7376231ME136</t>
  </si>
  <si>
    <t>7376231ME143</t>
  </si>
  <si>
    <t>7376231ME144</t>
  </si>
  <si>
    <t>7376231ME147</t>
  </si>
  <si>
    <t>7376231ME150</t>
  </si>
  <si>
    <t>7376241ME501</t>
  </si>
  <si>
    <t>7376241ME504</t>
  </si>
  <si>
    <t>7376231MZ106</t>
  </si>
  <si>
    <t>7376231MZ113</t>
  </si>
  <si>
    <t>7376231MZ125</t>
  </si>
  <si>
    <t>7376231MZ126</t>
  </si>
  <si>
    <t>7376231MZ136</t>
  </si>
  <si>
    <t>7376231MZ138</t>
  </si>
  <si>
    <t>7376231MZ144</t>
  </si>
  <si>
    <t>7376231MZ148</t>
  </si>
  <si>
    <t>7376231MZ155</t>
  </si>
  <si>
    <t>7376231MZ157</t>
  </si>
  <si>
    <t>7376241MZ502</t>
  </si>
  <si>
    <t>7376231MZ117</t>
  </si>
  <si>
    <t>7376231MZ149</t>
  </si>
  <si>
    <t>7376231MZ129</t>
  </si>
  <si>
    <t>7376231EE105</t>
  </si>
  <si>
    <t>06.07.2026</t>
  </si>
  <si>
    <t>7376231EE105-EnSmart Controls.pdf</t>
  </si>
  <si>
    <t>7376231EC254</t>
  </si>
  <si>
    <t>7376231EI114</t>
  </si>
  <si>
    <t>7376241EI502</t>
  </si>
  <si>
    <t>7376231ME122</t>
  </si>
  <si>
    <t>08.07.2026</t>
  </si>
  <si>
    <t>7376231ME148</t>
  </si>
  <si>
    <t>7376232AL105</t>
  </si>
  <si>
    <t>14.07.2026</t>
  </si>
  <si>
    <t>Arun Prakash E OL - CLOUDVICE.pdf</t>
  </si>
  <si>
    <t>7376232AD116</t>
  </si>
  <si>
    <t>Bharath L  OL - CLOUDVICE.pdf</t>
  </si>
  <si>
    <t>7376231CS191</t>
  </si>
  <si>
    <t>Kamalesh K OL - CLOUDVICE.pdf</t>
  </si>
  <si>
    <t>7376232AD219</t>
  </si>
  <si>
    <t>Raam Kumar K R - CLOUDVICE.pdf</t>
  </si>
  <si>
    <t>7376242FT501</t>
  </si>
  <si>
    <t>7376231MZ112</t>
  </si>
  <si>
    <t>SELF</t>
  </si>
  <si>
    <t>7376232IT257</t>
  </si>
  <si>
    <t>15.07.2026</t>
  </si>
  <si>
    <t>7376232AD167</t>
  </si>
  <si>
    <t>7376232FT102</t>
  </si>
  <si>
    <t>7376231CS249</t>
  </si>
  <si>
    <t>18.07.2026</t>
  </si>
  <si>
    <t>7376231CS249-Leaf Corporation</t>
  </si>
  <si>
    <t>7376231CS160</t>
  </si>
  <si>
    <t>7376231CS160 - Leaf Corporation</t>
  </si>
  <si>
    <t>7376231EI153</t>
  </si>
  <si>
    <t>7376232IT137</t>
  </si>
  <si>
    <t>ITS</t>
  </si>
  <si>
    <t>23.07.2026</t>
  </si>
  <si>
    <t>7376232IT137-Hexaware.pdf</t>
  </si>
  <si>
    <t>7376232IT135</t>
  </si>
  <si>
    <t>7376232IT135-Hexaware.pdf</t>
  </si>
  <si>
    <t>7376232IT215</t>
  </si>
  <si>
    <t>7376232IT215-Hexaware.pdf</t>
  </si>
  <si>
    <t>7376232AD152</t>
  </si>
  <si>
    <t>7376232AD152-Hexaware.pdf</t>
  </si>
  <si>
    <t>7376232AL191</t>
  </si>
  <si>
    <t>7376232AL191-Hexaware.pdf</t>
  </si>
  <si>
    <t>7376232IT204</t>
  </si>
  <si>
    <t>7376232IT204-Hexaware.pdf</t>
  </si>
  <si>
    <t>7376232AL138</t>
  </si>
  <si>
    <t>7376232AL138-Hexaware.pdf</t>
  </si>
  <si>
    <t>7376232AD274</t>
  </si>
  <si>
    <t>7376232AD274-Hexaware.pdf</t>
  </si>
  <si>
    <t>7376231CS118</t>
  </si>
  <si>
    <t>7376231CS118 - Hexaware.pdf</t>
  </si>
  <si>
    <t>7376231CS289</t>
  </si>
  <si>
    <t>7376231CS289-Hexaware.pdf</t>
  </si>
  <si>
    <t>7376231CD116</t>
  </si>
  <si>
    <t>7376231CD116-Hexaware.pdf</t>
  </si>
  <si>
    <t>7376232IT201</t>
  </si>
  <si>
    <t>7376232IT201-Hexaware.pdf</t>
  </si>
  <si>
    <t>7376232AL178</t>
  </si>
  <si>
    <t>7376232AL178-Hexaware.pdf</t>
  </si>
  <si>
    <t>7376232IT206</t>
  </si>
  <si>
    <t>7376232IT206-Hexaware.pdf</t>
  </si>
  <si>
    <t>7376231CS241</t>
  </si>
  <si>
    <t>7376231CS241-Hexaware.pdf</t>
  </si>
  <si>
    <t>7376232IT243</t>
  </si>
  <si>
    <t>7376232IT243-Hexaware.pdf</t>
  </si>
  <si>
    <t>7376232CB129</t>
  </si>
  <si>
    <t>7376232CB129-Hexaware.pdf</t>
  </si>
  <si>
    <t>7376231CD124</t>
  </si>
  <si>
    <t>7376231CD124-Hexaware.pdf</t>
  </si>
  <si>
    <t>7376231SE112</t>
  </si>
  <si>
    <t>7376231SE112-Hexaware.pdf</t>
  </si>
  <si>
    <t>7376232CB115</t>
  </si>
  <si>
    <t>7376232CB115-Hexaware.pdf</t>
  </si>
  <si>
    <t>7376231CS242</t>
  </si>
  <si>
    <t>7376231CS242-Hexaware.pdf</t>
  </si>
  <si>
    <t>7376232IT239</t>
  </si>
  <si>
    <t>7376232IT239-Hexaware.pdf</t>
  </si>
  <si>
    <t>7376232AD255</t>
  </si>
  <si>
    <t>7376232AD255-Hexaware.pdf</t>
  </si>
  <si>
    <t>7376231CD160</t>
  </si>
  <si>
    <t>7376231CD160-Hexaware.pdf</t>
  </si>
  <si>
    <t>7376231CS174</t>
  </si>
  <si>
    <t>7376231CS174-Hexaware.pdf</t>
  </si>
  <si>
    <t>7376231CS183</t>
  </si>
  <si>
    <t>7376231CS183-Hexaware.pdf</t>
  </si>
  <si>
    <t>7376231CS228</t>
  </si>
  <si>
    <t>7376231CS228-Hexaware.pdf</t>
  </si>
  <si>
    <t>7376232IT167</t>
  </si>
  <si>
    <t>7376232IT167-Hexaware.pdf</t>
  </si>
  <si>
    <t>7376231CS319</t>
  </si>
  <si>
    <t>7376231CS319-Hexaware.pdf</t>
  </si>
  <si>
    <t>7376231CS262</t>
  </si>
  <si>
    <t>7376231CS262-Hexaware.pdf</t>
  </si>
  <si>
    <t>7376241CS502</t>
  </si>
  <si>
    <t>7376241CS502-Hexaware.pdf</t>
  </si>
  <si>
    <t>7376232AD123</t>
  </si>
  <si>
    <t>7376232AD123-Hexaware.pdf</t>
  </si>
  <si>
    <t>7376231CS169</t>
  </si>
  <si>
    <t>7376231CS169-Hexaware.pdf</t>
  </si>
  <si>
    <t>7376231CS233</t>
  </si>
  <si>
    <t>7376231CS233-Hexaware.pdf</t>
  </si>
  <si>
    <t>7376232IT169</t>
  </si>
  <si>
    <t>7376232IT169-Hexaware.pdf</t>
  </si>
  <si>
    <t>7376232AD216</t>
  </si>
  <si>
    <t>7376232AD216-Hexaware.pdf</t>
  </si>
  <si>
    <t>7376232AD182</t>
  </si>
  <si>
    <t>7376232AD182-Hexaware.pdf</t>
  </si>
  <si>
    <t>7376231SE123</t>
  </si>
  <si>
    <t>7376231SE123-Hexaware.pdf</t>
  </si>
  <si>
    <t>7376232AD212</t>
  </si>
  <si>
    <t>7376232AD212-Hexaware.pdf</t>
  </si>
  <si>
    <t>7376231CS266</t>
  </si>
  <si>
    <t>7376231CS266-Hexaware.pdf</t>
  </si>
  <si>
    <t>7376231SE147</t>
  </si>
  <si>
    <t>7376231SE147-Hexaware.pdf</t>
  </si>
  <si>
    <t>7376231CS186</t>
  </si>
  <si>
    <t>7376231CS186-Hexaware.pdf</t>
  </si>
  <si>
    <t>7376231CS313</t>
  </si>
  <si>
    <t>7376231CS313 -Hexaware.pdf</t>
  </si>
  <si>
    <t>7376231CD155</t>
  </si>
  <si>
    <t>7376231CD155-Hexaware.pdf</t>
  </si>
  <si>
    <t>7376231CS226</t>
  </si>
  <si>
    <t>7376231CS226-Hexaware.pdf</t>
  </si>
  <si>
    <t>7376231CS134</t>
  </si>
  <si>
    <t>7376231CS134-Hexaware.pdf</t>
  </si>
  <si>
    <t>7376231CS199</t>
  </si>
  <si>
    <t>7376231CS199-Hexaware.pdf</t>
  </si>
  <si>
    <t>7376232CB113</t>
  </si>
  <si>
    <t>7376232CB113-Hexaware.pdf</t>
  </si>
  <si>
    <t>7376231SE142</t>
  </si>
  <si>
    <t>7376231SE142-Hexaware.pdf</t>
  </si>
  <si>
    <t>7376231CS129</t>
  </si>
  <si>
    <t>7376231CS129-Hexaware.pdf</t>
  </si>
  <si>
    <t>7376232IT155</t>
  </si>
  <si>
    <t>7376232IT155-Hexaware.pdf</t>
  </si>
  <si>
    <t>7376232IT254</t>
  </si>
  <si>
    <t>7376232IT254-Hexaware.pdf</t>
  </si>
  <si>
    <t>7376232AL168</t>
  </si>
  <si>
    <t>7376232AL168-Hexaware.pdf</t>
  </si>
  <si>
    <t>7376232AL196</t>
  </si>
  <si>
    <t>7376232AL196-Hexaware.pdf</t>
  </si>
  <si>
    <t>7376232IT183</t>
  </si>
  <si>
    <t>7376232IT183-Hexaware.pdf</t>
  </si>
  <si>
    <t>7376231CS314</t>
  </si>
  <si>
    <t>7376231CS314-Hexaware.pdf</t>
  </si>
  <si>
    <t>7376232AD267</t>
  </si>
  <si>
    <t>7376232AD267-Hexaware.pdf</t>
  </si>
  <si>
    <t>7376232CT119</t>
  </si>
  <si>
    <t>7376232CT119-Hexaware.pdf</t>
  </si>
  <si>
    <t>7376231SE104</t>
  </si>
  <si>
    <t>7376231SE104-Hexaware.pdf</t>
  </si>
  <si>
    <t>7376241EC504</t>
  </si>
  <si>
    <t>27.07.2026</t>
  </si>
  <si>
    <t>7376232FD142</t>
  </si>
  <si>
    <t>7376232FD124</t>
  </si>
  <si>
    <t>7376232FD120</t>
  </si>
  <si>
    <t>7376232FD102</t>
  </si>
  <si>
    <t>7376232CT114</t>
  </si>
  <si>
    <t>29.07.2026</t>
  </si>
  <si>
    <t>03.08.2026</t>
  </si>
  <si>
    <t>7376232CT114-Zoho.pdf</t>
  </si>
  <si>
    <t>7376231CS256-Zoho.pdf</t>
  </si>
  <si>
    <t>7376232AD157-Zoho.pdf</t>
  </si>
  <si>
    <t>7376232CB153</t>
  </si>
  <si>
    <t>7376232CB153-Zoho.pdf</t>
  </si>
  <si>
    <t>7376231EC118</t>
  </si>
  <si>
    <t>7376231EC118-Zoho.pdf</t>
  </si>
  <si>
    <t>7376231CS234</t>
  </si>
  <si>
    <t>7376231CS234-Zoho.pdf</t>
  </si>
  <si>
    <t>7376232BT166</t>
  </si>
  <si>
    <t>Finance/Marketing/BDA</t>
  </si>
  <si>
    <t>7376231CS269</t>
  </si>
  <si>
    <t>30.07.2026</t>
  </si>
  <si>
    <t>7376232AL159</t>
  </si>
  <si>
    <t>7376232AL174</t>
  </si>
  <si>
    <t>7376231SE148</t>
  </si>
  <si>
    <t>7376232CB131</t>
  </si>
  <si>
    <t>7376231EC207</t>
  </si>
  <si>
    <t>7376232AD142</t>
  </si>
  <si>
    <t>Prime</t>
  </si>
  <si>
    <t>7376231CS305</t>
  </si>
  <si>
    <t>7376231CS326</t>
  </si>
  <si>
    <t>7376232IT105</t>
  </si>
  <si>
    <t>7376232IT271</t>
  </si>
  <si>
    <t>7376232AG147</t>
  </si>
  <si>
    <t>Digital</t>
  </si>
  <si>
    <t>7376232AD113</t>
  </si>
  <si>
    <t>7376232AD138</t>
  </si>
  <si>
    <t>7376232AD166</t>
  </si>
  <si>
    <t>7376232AD223</t>
  </si>
  <si>
    <t>7376232AD237</t>
  </si>
  <si>
    <t>7376232AD251</t>
  </si>
  <si>
    <t>7376232AD266</t>
  </si>
  <si>
    <t>7376242AD508</t>
  </si>
  <si>
    <t>Digital - Allow</t>
  </si>
  <si>
    <t>7376232AL149</t>
  </si>
  <si>
    <t>7376232AL169</t>
  </si>
  <si>
    <t>7376232AL185</t>
  </si>
  <si>
    <t>7376232AL190</t>
  </si>
  <si>
    <t>7376232AL197</t>
  </si>
  <si>
    <t>7376231BM133</t>
  </si>
  <si>
    <t>7376232CB107</t>
  </si>
  <si>
    <t>7376232CB119</t>
  </si>
  <si>
    <t>7376232CB126</t>
  </si>
  <si>
    <t>7376232CB135</t>
  </si>
  <si>
    <t>7376232CB140</t>
  </si>
  <si>
    <t>7376232CB143</t>
  </si>
  <si>
    <t>7376232CB155</t>
  </si>
  <si>
    <t>7376232CB156</t>
  </si>
  <si>
    <t>7376231CD106</t>
  </si>
  <si>
    <t>7376231CD112</t>
  </si>
  <si>
    <t>7376231CD131</t>
  </si>
  <si>
    <t>7376231CD150</t>
  </si>
  <si>
    <t>7376231CS137</t>
  </si>
  <si>
    <t>7376231CS142</t>
  </si>
  <si>
    <t>7376231CS153</t>
  </si>
  <si>
    <t>7376231CS162</t>
  </si>
  <si>
    <t>7376231CS171</t>
  </si>
  <si>
    <t>7376231CS185</t>
  </si>
  <si>
    <t>7376231CS195</t>
  </si>
  <si>
    <t>7376231CS215</t>
  </si>
  <si>
    <t>7376231CS255</t>
  </si>
  <si>
    <t>7376241CS511</t>
  </si>
  <si>
    <t>7376232CT121</t>
  </si>
  <si>
    <t>7376232CT137</t>
  </si>
  <si>
    <t>7376232CT155</t>
  </si>
  <si>
    <t>7376231EC134</t>
  </si>
  <si>
    <t>7376231EC136</t>
  </si>
  <si>
    <t>7376231EC139</t>
  </si>
  <si>
    <t>7376231EC173</t>
  </si>
  <si>
    <t>7376231EC175</t>
  </si>
  <si>
    <t>7376231EC269</t>
  </si>
  <si>
    <t>7376231EC287</t>
  </si>
  <si>
    <t>7376231EC307</t>
  </si>
  <si>
    <t>7376231SE124</t>
  </si>
  <si>
    <t>7376231SE150</t>
  </si>
  <si>
    <t>7376232IT104</t>
  </si>
  <si>
    <t>7376232IT110</t>
  </si>
  <si>
    <t>7376232IT115</t>
  </si>
  <si>
    <t>7376232IT161</t>
  </si>
  <si>
    <t>7376232IT178</t>
  </si>
  <si>
    <t>7376232IT182</t>
  </si>
  <si>
    <t>7376232IT196</t>
  </si>
  <si>
    <t>7376232IT200</t>
  </si>
  <si>
    <t>7376232IT209</t>
  </si>
  <si>
    <t>7376232IT214</t>
  </si>
  <si>
    <t>7376232IT220</t>
  </si>
  <si>
    <t>7376232IT235</t>
  </si>
  <si>
    <t>7376231MZ124</t>
  </si>
  <si>
    <t>7376232AD143</t>
  </si>
  <si>
    <t>Ninja</t>
  </si>
  <si>
    <t>7376232AD154</t>
  </si>
  <si>
    <t>7376232AD161</t>
  </si>
  <si>
    <t>7376232AD163</t>
  </si>
  <si>
    <t>7376232AD206</t>
  </si>
  <si>
    <t>7376232AL101</t>
  </si>
  <si>
    <t>7376232AL107</t>
  </si>
  <si>
    <t>7376232AL124</t>
  </si>
  <si>
    <t>7376232AL129</t>
  </si>
  <si>
    <t>7376232AL209</t>
  </si>
  <si>
    <t>7376232BT140</t>
  </si>
  <si>
    <t>7376232CB150</t>
  </si>
  <si>
    <t>7376231CD141</t>
  </si>
  <si>
    <t>7376231CS264</t>
  </si>
  <si>
    <t>7376231CS303</t>
  </si>
  <si>
    <t>7376231CS315</t>
  </si>
  <si>
    <t>7376231CS343</t>
  </si>
  <si>
    <t>7376232CT120</t>
  </si>
  <si>
    <t>7376232CT146</t>
  </si>
  <si>
    <t>7376232CT160</t>
  </si>
  <si>
    <t>7376231EE103</t>
  </si>
  <si>
    <t>7376231EE121</t>
  </si>
  <si>
    <t>7376231EE123</t>
  </si>
  <si>
    <t>7376231EE126</t>
  </si>
  <si>
    <t>7376231EE130</t>
  </si>
  <si>
    <t>7376231EE136</t>
  </si>
  <si>
    <t>7376231EE143</t>
  </si>
  <si>
    <t>7376231EE145</t>
  </si>
  <si>
    <t>7376231EC103</t>
  </si>
  <si>
    <t>7376231EC119</t>
  </si>
  <si>
    <t>7376231EC142</t>
  </si>
  <si>
    <t>7376231EC146</t>
  </si>
  <si>
    <t>7376231EC147</t>
  </si>
  <si>
    <t>7376231EC151</t>
  </si>
  <si>
    <t>7376231EC166</t>
  </si>
  <si>
    <t>7376231EC167</t>
  </si>
  <si>
    <t>7376231EC180</t>
  </si>
  <si>
    <t>7376231EC183</t>
  </si>
  <si>
    <t>7376231EC184</t>
  </si>
  <si>
    <t>7376231EC190</t>
  </si>
  <si>
    <t>7376231EC193</t>
  </si>
  <si>
    <t>7376231EC210</t>
  </si>
  <si>
    <t>7376231EC212</t>
  </si>
  <si>
    <t>7376231EC213</t>
  </si>
  <si>
    <t>7376231EC214</t>
  </si>
  <si>
    <t>7376231EC229</t>
  </si>
  <si>
    <t>7376231EC235</t>
  </si>
  <si>
    <t>7376231EC241</t>
  </si>
  <si>
    <t>7376231EC244</t>
  </si>
  <si>
    <t>7376231EC253</t>
  </si>
  <si>
    <t>7376231EC266</t>
  </si>
  <si>
    <t>7376231EC270</t>
  </si>
  <si>
    <t>7376231EC273</t>
  </si>
  <si>
    <t>7376231EC274</t>
  </si>
  <si>
    <t>7376231EC276</t>
  </si>
  <si>
    <t>7376231EC277</t>
  </si>
  <si>
    <t>7376231EC278</t>
  </si>
  <si>
    <t>7376231EC289</t>
  </si>
  <si>
    <t>7376231EC303</t>
  </si>
  <si>
    <t>7376231EC311</t>
  </si>
  <si>
    <t>7376231EC326</t>
  </si>
  <si>
    <t>7376241EC502</t>
  </si>
  <si>
    <t>7376231EI102</t>
  </si>
  <si>
    <t>7376231EI115</t>
  </si>
  <si>
    <t>7376231EI129</t>
  </si>
  <si>
    <t>7376232IT101</t>
  </si>
  <si>
    <t>7376232IT157</t>
  </si>
  <si>
    <t>7376232IT179</t>
  </si>
  <si>
    <t>7376232IT280</t>
  </si>
  <si>
    <t>7376231ME152</t>
  </si>
  <si>
    <t>7376231MZ103</t>
  </si>
  <si>
    <t>7376231MZ118</t>
  </si>
  <si>
    <t>7376231MZ130</t>
  </si>
  <si>
    <t>7376231MZ147</t>
  </si>
  <si>
    <t>7376231MZ152</t>
  </si>
  <si>
    <t>7376231ME161</t>
  </si>
  <si>
    <t>7376241CE503</t>
  </si>
  <si>
    <t>04.08.2026</t>
  </si>
  <si>
    <t>7376241CE504</t>
  </si>
  <si>
    <t>7376231ME112</t>
  </si>
  <si>
    <t>05.08.2026</t>
  </si>
  <si>
    <t>06.08.2026</t>
  </si>
  <si>
    <t>17.08.2026</t>
  </si>
  <si>
    <t>7376231MZ118 - Zoho.pdf</t>
  </si>
  <si>
    <t>7376232CT124</t>
  </si>
  <si>
    <t>7376232IT226</t>
  </si>
  <si>
    <t>7376232FT102-VISHWAA APPARELS.pdf</t>
  </si>
  <si>
    <t>7376232FT103</t>
  </si>
  <si>
    <t>7376232FT103-VISHWAA APPARELS.pdf</t>
  </si>
  <si>
    <t>7376232FT104</t>
  </si>
  <si>
    <t>7376232FT104-VISHWAA APPARELS.pdf</t>
  </si>
  <si>
    <t>7376232FT116</t>
  </si>
  <si>
    <t>7376232FT116-VISHWAA APPARELS.pdf</t>
  </si>
  <si>
    <t>7376232FT120</t>
  </si>
  <si>
    <t>7376232FT120-VISHWAA APPARELS.pdf</t>
  </si>
  <si>
    <t>7376232CT104</t>
  </si>
  <si>
    <t>08.08.2026</t>
  </si>
  <si>
    <t>7376231CD148</t>
  </si>
  <si>
    <t>10.08.2026</t>
  </si>
  <si>
    <t>7376231CS336</t>
  </si>
  <si>
    <t>7376231ME116</t>
  </si>
  <si>
    <t>7376232FD135</t>
  </si>
  <si>
    <t>12.08.2026</t>
  </si>
  <si>
    <t>7376231EE115</t>
  </si>
  <si>
    <t>13.08.2026</t>
  </si>
  <si>
    <t>7376231CS231</t>
  </si>
  <si>
    <t>18.08.2026</t>
  </si>
  <si>
    <t>07.09.2026</t>
  </si>
  <si>
    <t>7376231SE129</t>
  </si>
  <si>
    <t>7376232AL182</t>
  </si>
  <si>
    <t>19.08.2026</t>
  </si>
  <si>
    <t>7376231MZ134</t>
  </si>
  <si>
    <t>7376231CS201</t>
  </si>
  <si>
    <t>7376231MZ127</t>
  </si>
  <si>
    <t>20.08.2026</t>
  </si>
  <si>
    <t>08.09.2026</t>
  </si>
  <si>
    <t>7376231CS165</t>
  </si>
  <si>
    <t>7376232AG102</t>
  </si>
  <si>
    <t>21.08.2026</t>
  </si>
  <si>
    <t>7376232AG150</t>
  </si>
  <si>
    <t>7376232AG124</t>
  </si>
  <si>
    <t>7376232AG131</t>
  </si>
  <si>
    <t>7376242AG504</t>
  </si>
  <si>
    <t>7376231EC328</t>
  </si>
  <si>
    <t>7376241EC515</t>
  </si>
  <si>
    <t>7376241EC517</t>
  </si>
  <si>
    <t>7376231EC332</t>
  </si>
  <si>
    <t>7376231EE155</t>
  </si>
  <si>
    <t>7376241EC508</t>
  </si>
  <si>
    <t>7376241EC506</t>
  </si>
  <si>
    <t>7376232BT118</t>
  </si>
  <si>
    <t>25.08.2026</t>
  </si>
  <si>
    <t>7376232BT185</t>
  </si>
  <si>
    <t>7376232BT101</t>
  </si>
  <si>
    <t>7376232BT149</t>
  </si>
  <si>
    <t>7376232BT181</t>
  </si>
  <si>
    <t>7376232BT168</t>
  </si>
  <si>
    <t>7376231BM131</t>
  </si>
  <si>
    <t>7376232BT194</t>
  </si>
  <si>
    <t>7376232BT211</t>
  </si>
  <si>
    <t>7376232BT104</t>
  </si>
  <si>
    <t>7376232BT212</t>
  </si>
  <si>
    <t>7376231BM125</t>
  </si>
  <si>
    <t>7376232BT171</t>
  </si>
  <si>
    <t>7376232BT191</t>
  </si>
  <si>
    <t>7376232BT214</t>
  </si>
  <si>
    <t>7376232BT131</t>
  </si>
  <si>
    <t>7376231EE157</t>
  </si>
  <si>
    <t>7376231ME120</t>
  </si>
  <si>
    <t>7376231ME151</t>
  </si>
  <si>
    <t>7376231EI127</t>
  </si>
  <si>
    <t>28.08.2026</t>
  </si>
  <si>
    <t>7376231MZ140</t>
  </si>
  <si>
    <t>7376231ME105</t>
  </si>
  <si>
    <t>7376231ME109</t>
  </si>
  <si>
    <t>7376231ME118</t>
  </si>
  <si>
    <t>7376241ME502</t>
  </si>
  <si>
    <t>7376231ME145</t>
  </si>
  <si>
    <t>7376231ME146</t>
  </si>
  <si>
    <t>7376231ME159</t>
  </si>
  <si>
    <t>7376231MZ102</t>
  </si>
  <si>
    <t>7376231MZ123</t>
  </si>
  <si>
    <t>7376231MZ128</t>
  </si>
  <si>
    <t>7376231MZ150</t>
  </si>
  <si>
    <t>7376231MZ156</t>
  </si>
  <si>
    <t>7376231MZ158</t>
  </si>
  <si>
    <t>7376231ME115</t>
  </si>
  <si>
    <t>7376231MZ151</t>
  </si>
  <si>
    <t>7376231EC157</t>
  </si>
  <si>
    <t>29.08.2026</t>
  </si>
  <si>
    <t>7376231EC157-Mistral Solutions.pdf</t>
  </si>
  <si>
    <t>7376231EC169</t>
  </si>
  <si>
    <t>7376231EC169-Mistral Solutions.pdf</t>
  </si>
  <si>
    <t>7376231EC171</t>
  </si>
  <si>
    <t>7376231EC171-Mistral Solutions.pdf</t>
  </si>
  <si>
    <t>7376231EC236</t>
  </si>
  <si>
    <t>7376231EC236-Mistral Solutions.pdf</t>
  </si>
  <si>
    <t>7376231EC237</t>
  </si>
  <si>
    <t>7376231EC237-Mistral Solutions.pdf</t>
  </si>
  <si>
    <t>7376232AD124</t>
  </si>
  <si>
    <t>7376232AD124-Mistral Solutions.pdf</t>
  </si>
  <si>
    <t>7376232AL192</t>
  </si>
  <si>
    <t>7376232AL192-Mistral Solutions.pdf</t>
  </si>
  <si>
    <t>7376232FT106</t>
  </si>
  <si>
    <t>7376232FT106-S.R.K. Garments.pdf</t>
  </si>
  <si>
    <t>7376232FT109</t>
  </si>
  <si>
    <t>7376232FT109-S.R.K. Garments.pdf</t>
  </si>
  <si>
    <t>7376232FT115</t>
  </si>
  <si>
    <t>7376232FT115-S.R.K. Garments.pdf</t>
  </si>
  <si>
    <t>7376232FT114</t>
  </si>
  <si>
    <t>7376232FT114-Cotton Blossoms.pdf</t>
  </si>
  <si>
    <t>7376232BT201</t>
  </si>
  <si>
    <t>31.08.2026</t>
  </si>
  <si>
    <t>7376232CB116</t>
  </si>
  <si>
    <t>7376232CB122</t>
  </si>
  <si>
    <t>7376231CS189</t>
  </si>
  <si>
    <t>7376232IT103</t>
  </si>
  <si>
    <t>7376231CS311</t>
  </si>
  <si>
    <t>01.09.2026</t>
  </si>
  <si>
    <t>7376231EC152</t>
  </si>
  <si>
    <t>7376232AD238</t>
  </si>
  <si>
    <t>7376232CB151</t>
  </si>
  <si>
    <t>7376231CS323</t>
  </si>
  <si>
    <t>7376231MZ142</t>
  </si>
  <si>
    <t>02.09.2026</t>
  </si>
  <si>
    <t>7376231EE144</t>
  </si>
  <si>
    <t>7376231ME157</t>
  </si>
  <si>
    <t>15.09.2026</t>
  </si>
  <si>
    <t>7376232IT158</t>
  </si>
  <si>
    <t>7376232CT106</t>
  </si>
  <si>
    <t>03.09.2026</t>
  </si>
  <si>
    <t>VMS - Internship - Offer Letter - BIT - 2026.pdf</t>
  </si>
  <si>
    <t>7376232IT111</t>
  </si>
  <si>
    <t>7376232AD162</t>
  </si>
  <si>
    <t>7376231SE141</t>
  </si>
  <si>
    <t>7376231CS261</t>
  </si>
  <si>
    <t>7376231CS254</t>
  </si>
  <si>
    <t>7376232AD148</t>
  </si>
  <si>
    <t>05.09.2026</t>
  </si>
  <si>
    <t>7376232BT152</t>
  </si>
  <si>
    <t>7376232BT215</t>
  </si>
  <si>
    <t>7376232BT120</t>
  </si>
  <si>
    <t>7376232BT164</t>
  </si>
  <si>
    <t>7376232BT202</t>
  </si>
  <si>
    <t>7376232BT113</t>
  </si>
  <si>
    <t>7376232BT176</t>
  </si>
  <si>
    <t>7376232BT129</t>
  </si>
  <si>
    <t>7376232BT173</t>
  </si>
  <si>
    <t>7376232BT160</t>
  </si>
  <si>
    <t>7376232BT139</t>
  </si>
  <si>
    <t>7376232BT205</t>
  </si>
  <si>
    <t>7376231MZ101</t>
  </si>
  <si>
    <t>09.09.2026</t>
  </si>
  <si>
    <t>11.09.2026</t>
  </si>
  <si>
    <t>7376232FD123</t>
  </si>
  <si>
    <t>7376231MZ143</t>
  </si>
  <si>
    <t xml:space="preserve"> Allow for Double the package</t>
  </si>
  <si>
    <t>12.09.2026</t>
  </si>
  <si>
    <t>7376231EC148</t>
  </si>
  <si>
    <t>7376231EI125</t>
  </si>
  <si>
    <t>7376231CS202</t>
  </si>
  <si>
    <t>7376231CS277</t>
  </si>
  <si>
    <t>7376231CS270</t>
  </si>
  <si>
    <t>7376231CS274</t>
  </si>
  <si>
    <t>7376231CS258</t>
  </si>
  <si>
    <t>7376232AL122</t>
  </si>
  <si>
    <t>7376232IT119</t>
  </si>
  <si>
    <t>7376232AD236</t>
  </si>
  <si>
    <t>7376232CT101</t>
  </si>
  <si>
    <t>7376231CS332</t>
  </si>
  <si>
    <t>7376231EC257</t>
  </si>
  <si>
    <t>7376231CD152</t>
  </si>
  <si>
    <t>7376231CS138</t>
  </si>
  <si>
    <t>7376232CT154</t>
  </si>
  <si>
    <t>7376232IT217</t>
  </si>
  <si>
    <t>7376231CS214</t>
  </si>
  <si>
    <t>16.09.2026</t>
  </si>
  <si>
    <t>7376231EC217</t>
  </si>
  <si>
    <t>17.09.2026</t>
  </si>
  <si>
    <t>7376242IT510</t>
  </si>
  <si>
    <t>7376231ME133</t>
  </si>
  <si>
    <t>22.09.2026</t>
  </si>
  <si>
    <t>7376231ME113</t>
  </si>
  <si>
    <t>7376231ME140</t>
  </si>
  <si>
    <t>24.09.2026</t>
  </si>
  <si>
    <t>7376231ME108</t>
  </si>
  <si>
    <t>7376231EE102</t>
  </si>
  <si>
    <t>7376231EE134</t>
  </si>
  <si>
    <t>7376231EE154</t>
  </si>
  <si>
    <t>7376231EE127</t>
  </si>
  <si>
    <t>7376231EC137</t>
  </si>
  <si>
    <t>7376231EC218</t>
  </si>
  <si>
    <t>7376231EC243</t>
  </si>
  <si>
    <t>7376241EC501</t>
  </si>
  <si>
    <t>7376241EC522</t>
  </si>
  <si>
    <t>7376241EE506</t>
  </si>
  <si>
    <t>7376231EC128</t>
  </si>
  <si>
    <t>25.09.2026</t>
  </si>
  <si>
    <t>7376232IT286</t>
  </si>
  <si>
    <t>7376231EC286</t>
  </si>
  <si>
    <t>7376231CS143</t>
  </si>
  <si>
    <t>7376231CS155</t>
  </si>
  <si>
    <t>7376231EC172</t>
  </si>
  <si>
    <t>7376231EE119</t>
  </si>
  <si>
    <t>Allow for few companies</t>
  </si>
  <si>
    <t>28.09.2026</t>
  </si>
  <si>
    <t>7376241EE501</t>
  </si>
  <si>
    <t>7376241EE502</t>
  </si>
  <si>
    <t>7376241EE505</t>
  </si>
  <si>
    <t>7376241EE503</t>
  </si>
  <si>
    <t>7376231EC109</t>
  </si>
  <si>
    <t>7376231EC114</t>
  </si>
  <si>
    <t>7376231EC178</t>
  </si>
  <si>
    <t>7376231EC206</t>
  </si>
  <si>
    <t>7376231EC211</t>
  </si>
  <si>
    <t>7376241EC512</t>
  </si>
  <si>
    <t>7376231EC228</t>
  </si>
  <si>
    <t>7376231EC234</t>
  </si>
  <si>
    <t>7376241EC520</t>
  </si>
  <si>
    <t>7376231EC296</t>
  </si>
  <si>
    <t>7376231EC302</t>
  </si>
  <si>
    <t>7376241EC521</t>
  </si>
  <si>
    <t>7376231EC318</t>
  </si>
  <si>
    <t>7376231EC322</t>
  </si>
  <si>
    <t>7376231EC330</t>
  </si>
  <si>
    <t>7376231EI103</t>
  </si>
  <si>
    <t>7376231EI109</t>
  </si>
  <si>
    <t>7376231EI111</t>
  </si>
  <si>
    <t>7376231EI116</t>
  </si>
  <si>
    <t>7376231EI157</t>
  </si>
  <si>
    <t>7376231ME103</t>
  </si>
  <si>
    <t>7376231MZ141</t>
  </si>
  <si>
    <t>7376231EI122</t>
  </si>
  <si>
    <t>7376232AD121</t>
  </si>
  <si>
    <t>7376232AD176</t>
  </si>
  <si>
    <t>7376232AD227</t>
  </si>
  <si>
    <t>7376232AD241</t>
  </si>
  <si>
    <t>7376232AD245</t>
  </si>
  <si>
    <t>7376232AD285</t>
  </si>
  <si>
    <t>7376232AL117</t>
  </si>
  <si>
    <t>7376232AL210</t>
  </si>
  <si>
    <t>7376232AL212</t>
  </si>
  <si>
    <t>7376232CB130</t>
  </si>
  <si>
    <t>7376232CB157</t>
  </si>
  <si>
    <t>7376231CD108</t>
  </si>
  <si>
    <t>7376231CD119</t>
  </si>
  <si>
    <t>7376231CD132</t>
  </si>
  <si>
    <t>7376231CD138</t>
  </si>
  <si>
    <t>7376231CD142</t>
  </si>
  <si>
    <t>7376231CS119</t>
  </si>
  <si>
    <t>7376231CS198</t>
  </si>
  <si>
    <t>7376231CS209</t>
  </si>
  <si>
    <t>7376231CS248</t>
  </si>
  <si>
    <t>7376231CS253</t>
  </si>
  <si>
    <t>7376231CS271</t>
  </si>
  <si>
    <t>7376231CS309</t>
  </si>
  <si>
    <t>7376232CT129</t>
  </si>
  <si>
    <t>7376232CT159</t>
  </si>
  <si>
    <t>7376231EE109</t>
  </si>
  <si>
    <t>7376231EE118</t>
  </si>
  <si>
    <t>7376231EE124</t>
  </si>
  <si>
    <t>7376231EE148</t>
  </si>
  <si>
    <t>7376231EC129</t>
  </si>
  <si>
    <t>7376231EC165</t>
  </si>
  <si>
    <t>7376231EC177</t>
  </si>
  <si>
    <t>7376231EC189</t>
  </si>
  <si>
    <t>7376231EC204</t>
  </si>
  <si>
    <t>7376231EC233</t>
  </si>
  <si>
    <t>7376231EI135</t>
  </si>
  <si>
    <t>7376231SE118</t>
  </si>
  <si>
    <t>7376231SE151</t>
  </si>
  <si>
    <t>7376231SE152</t>
  </si>
  <si>
    <t>7376232IT128</t>
  </si>
  <si>
    <t>7376242IT505</t>
  </si>
  <si>
    <t>7376232IT186</t>
  </si>
  <si>
    <t>7376232IT205</t>
  </si>
  <si>
    <t>7376232IT213</t>
  </si>
  <si>
    <t>7376232IT222</t>
  </si>
  <si>
    <t>7376232IT259</t>
  </si>
  <si>
    <t>7376232IT278</t>
  </si>
  <si>
    <t>7376231MZ109</t>
  </si>
  <si>
    <t>29.09.2026</t>
  </si>
  <si>
    <t>7376231MZ110</t>
  </si>
  <si>
    <t>7376231MZ120</t>
  </si>
  <si>
    <t>7376231MZ139</t>
  </si>
  <si>
    <t>7376241MZ504</t>
  </si>
  <si>
    <t>7376241MZ506</t>
  </si>
  <si>
    <t>7376241MZ505</t>
  </si>
  <si>
    <t>7376231MZ116</t>
  </si>
  <si>
    <t>7376231EC256</t>
  </si>
  <si>
    <t>01.10.2026</t>
  </si>
  <si>
    <t>7376231EE146</t>
  </si>
  <si>
    <t>7376231ME142</t>
  </si>
  <si>
    <t>03.10.2026</t>
  </si>
  <si>
    <t>7376232FD130</t>
  </si>
  <si>
    <t>05.10.2026</t>
  </si>
  <si>
    <t>7376231EC164</t>
  </si>
  <si>
    <t>07.10.2026</t>
  </si>
  <si>
    <t>7376231EC111</t>
  </si>
  <si>
    <t>7376231BM150</t>
  </si>
  <si>
    <t>7376231BM101</t>
  </si>
  <si>
    <t>7376231BM138</t>
  </si>
  <si>
    <t>08.10.2026</t>
  </si>
  <si>
    <t>7376232IT106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</si>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</sst>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Verdana"/>
    </font>
    <font>
      <b/>
      <sz val="10.0"/>
      <color theme="1"/>
      <name val="Verdana"/>
    </font>
    <font>
      <color theme="1"/>
      <name val="Verdana"/>
    </font>
    <font>
      <sz val="11.0"/>
      <color rgb="FF000000"/>
      <name val="Verdana"/>
    </font>
    <font>
      <color theme="1"/>
      <name val="Arial"/>
      <scheme val="minor"/>
    </font>
    <font>
      <sz val="10.0"/>
      <color theme="1"/>
      <name val="Verdana"/>
    </font>
    <font>
      <sz val="10.0"/>
      <color rgb="FF000000"/>
      <name val="Verdana"/>
    </font>
    <font>
      <b/>
      <sz val="11.0"/>
      <color theme="1"/>
      <name val="Calibri"/>
    </font>
    <font>
      <color theme="1"/>
      <name val="Arial"/>
    </font>
    <font>
      <u/>
      <color rgb="FF0000FF"/>
    </font>
    <font/>
    <font>
      <u/>
      <sz val="10.0"/>
      <color theme="1"/>
      <name val="Verdana"/>
    </font>
    <font>
      <u/>
      <sz val="10.0"/>
      <color theme="1"/>
      <name val="Verdana"/>
    </font>
    <font>
      <u/>
      <sz val="10.0"/>
      <color rgb="FF434343"/>
      <name val="Verdana"/>
    </font>
    <font>
      <sz val="10.0"/>
      <color rgb="FF222222"/>
      <name val="Verdana"/>
    </font>
    <font>
      <u/>
      <sz val="10.0"/>
      <color theme="1"/>
      <name val="Verdana"/>
    </font>
    <font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readingOrder="0"/>
    </xf>
    <xf borderId="1" fillId="0" fontId="5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vertical="bottom"/>
    </xf>
    <xf borderId="2" fillId="0" fontId="3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1" fillId="3" fontId="7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left" readingOrder="0"/>
    </xf>
    <xf borderId="1" fillId="0" fontId="6" numFmtId="0" xfId="0" applyAlignment="1" applyBorder="1" applyFont="1">
      <alignment horizontal="left"/>
    </xf>
    <xf borderId="1" fillId="2" fontId="8" numFmtId="0" xfId="0" applyAlignment="1" applyBorder="1" applyFill="1" applyFont="1">
      <alignment horizontal="center" vertical="bottom"/>
    </xf>
    <xf borderId="1" fillId="2" fontId="8" numFmtId="0" xfId="0" applyAlignment="1" applyBorder="1" applyFill="1" applyFont="1">
      <alignment horizontal="center" shrinkToFit="0" vertical="bottom" wrapText="1"/>
    </xf>
    <xf borderId="0" fillId="0" fontId="9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0" fontId="5" numFmtId="0" xfId="0" applyBorder="1" applyFont="1"/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3" fontId="6" numFmtId="0" xfId="0" applyAlignment="1" applyBorder="1" applyFill="1" applyFont="1">
      <alignment horizontal="center" readingOrder="0"/>
    </xf>
    <xf borderId="2" fillId="0" fontId="3" numFmtId="0" xfId="0" applyAlignment="1" applyBorder="1" applyFont="1">
      <alignment vertical="bottom"/>
    </xf>
    <xf borderId="0" fillId="0" fontId="5" numFmtId="0" xfId="0" applyFont="1"/>
    <xf borderId="0" fillId="0" fontId="10" numFmtId="0" xfId="0" applyFont="1"/>
    <xf borderId="1" fillId="3" fontId="6" numFmtId="0" xfId="0" applyAlignment="1" applyBorder="1" applyFill="1" applyFont="1">
      <alignment horizontal="center" readingOrder="0"/>
    </xf>
    <xf borderId="3" fillId="2" fontId="1" numFmtId="0" xfId="0" applyAlignment="1" applyBorder="1" applyFill="1" applyFont="1">
      <alignment horizontal="center" vertical="bottom"/>
    </xf>
    <xf borderId="4" fillId="0" fontId="11" numFmtId="0" xfId="0" applyBorder="1" applyFont="1"/>
    <xf borderId="1" fillId="3" fontId="7" numFmtId="0" xfId="0" applyAlignment="1" applyBorder="1" applyFill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Border="1" applyFont="1"/>
    <xf borderId="1" fillId="0" fontId="12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shrinkToFit="0" vertical="bottom" wrapText="0"/>
    </xf>
    <xf borderId="1" fillId="0" fontId="6" numFmtId="0" xfId="0" applyAlignment="1" applyBorder="1" applyFont="1">
      <alignment horizontal="center" readingOrder="0"/>
    </xf>
    <xf borderId="1" fillId="3" fontId="6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vertical="center"/>
    </xf>
    <xf borderId="1" fillId="3" fontId="6" numFmtId="0" xfId="0" applyAlignment="1" applyBorder="1" applyFill="1" applyFont="1">
      <alignment horizontal="center" readingOrder="0" shrinkToFit="0" vertical="center" wrapText="1"/>
    </xf>
    <xf borderId="1" fillId="3" fontId="6" numFmtId="0" xfId="0" applyAlignment="1" applyBorder="1" applyFill="1" applyFont="1">
      <alignment horizontal="center" vertical="bottom"/>
    </xf>
    <xf borderId="1" fillId="0" fontId="13" numFmtId="0" xfId="0" applyBorder="1" applyFont="1"/>
    <xf borderId="1" fillId="3" fontId="7" numFmtId="0" xfId="0" applyAlignment="1" applyBorder="1" applyFill="1" applyFont="1">
      <alignment horizontal="center" readingOrder="0" shrinkToFit="0" wrapText="0"/>
    </xf>
    <xf borderId="1" fillId="3" fontId="14" numFmtId="0" xfId="0" applyAlignment="1" applyBorder="1" applyFill="1" applyFont="1">
      <alignment horizontal="center" readingOrder="0" shrinkToFit="0" vertical="center" wrapText="0"/>
    </xf>
    <xf borderId="1" fillId="3" fontId="6" numFmtId="0" xfId="0" applyBorder="1" applyFill="1" applyFont="1"/>
    <xf borderId="1" fillId="3" fontId="6" numFmtId="0" xfId="0" applyAlignment="1" applyBorder="1" applyFill="1" applyFont="1">
      <alignment readingOrder="0" vertical="center"/>
    </xf>
    <xf borderId="1" fillId="3" fontId="7" numFmtId="0" xfId="0" applyAlignment="1" applyBorder="1" applyFill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15" numFmtId="0" xfId="0" applyAlignment="1" applyBorder="1" applyFill="1" applyFont="1">
      <alignment readingOrder="0"/>
    </xf>
    <xf borderId="1" fillId="3" fontId="15" numFmtId="0" xfId="0" applyAlignment="1" applyBorder="1" applyFill="1" applyFont="1">
      <alignment horizontal="center" readingOrder="0"/>
    </xf>
    <xf borderId="1" fillId="3" fontId="7" numFmtId="0" xfId="0" applyAlignment="1" applyBorder="1" applyFill="1" applyFont="1">
      <alignment horizontal="center" readingOrder="0" shrinkToFit="0" vertical="bottom" wrapText="0"/>
    </xf>
    <xf borderId="5" fillId="0" fontId="16" numFmtId="0" xfId="0" applyAlignment="1" applyBorder="1" applyFont="1">
      <alignment readingOrder="0" vertical="center"/>
    </xf>
    <xf borderId="6" fillId="0" fontId="11" numFmtId="0" xfId="0" applyBorder="1" applyFont="1"/>
    <xf borderId="2" fillId="0" fontId="11" numFmtId="0" xfId="0" applyBorder="1" applyFont="1"/>
    <xf borderId="1" fillId="3" fontId="7" numFmtId="0" xfId="0" applyAlignment="1" applyBorder="1" applyFill="1" applyFont="1">
      <alignment readingOrder="0" vertical="bottom"/>
    </xf>
    <xf borderId="1" fillId="0" fontId="17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/>
    </xf>
    <xf borderId="1" fillId="3" fontId="3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Offer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95:B541" displayName="Table_1" name="Table_1" id="1">
  <tableColumns count="1">
    <tableColumn name="Column1" id="1"/>
  </tableColumns>
  <tableStyleInfo name="Off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TQ6ZzskM3mLs5VD_zxihBNyRaJEhSi4/view?usp=drive_link" TargetMode="External"/><Relationship Id="rId42" Type="http://schemas.openxmlformats.org/officeDocument/2006/relationships/hyperlink" Target="https://drive.google.com/file/d/1vMcdYpfL1DPufg0pdacafRSi5wMTbr7e/view?usp=drive_link" TargetMode="External"/><Relationship Id="rId41" Type="http://schemas.openxmlformats.org/officeDocument/2006/relationships/hyperlink" Target="https://drive.google.com/file/d/12uP0YHITgDpPNCI3KKIEq_uETokSV8Y5/view?usp=drive_link" TargetMode="External"/><Relationship Id="rId44" Type="http://schemas.openxmlformats.org/officeDocument/2006/relationships/hyperlink" Target="https://drive.google.com/file/d/1VAyndUQOqI2_XpTGP5CuiItywL8d8gB3/view?usp=drive_link" TargetMode="External"/><Relationship Id="rId43" Type="http://schemas.openxmlformats.org/officeDocument/2006/relationships/hyperlink" Target="https://drive.google.com/file/d/1GwvN7yDJT5WdB9jqecmk58yDrJeQ1nh2/view?usp=drive_link" TargetMode="External"/><Relationship Id="rId46" Type="http://schemas.openxmlformats.org/officeDocument/2006/relationships/hyperlink" Target="https://drive.google.com/file/d/1fkJ3FThYKfgPGvEMt_rTf3qFIRGBx-FR/view?usp=drive_link" TargetMode="External"/><Relationship Id="rId45" Type="http://schemas.openxmlformats.org/officeDocument/2006/relationships/hyperlink" Target="https://drive.google.com/file/d/1-F_ihRzeCwGIGyJ_1SDi5ahRoy5yWVzo/view?usp=drive_link" TargetMode="External"/><Relationship Id="rId107" Type="http://schemas.openxmlformats.org/officeDocument/2006/relationships/hyperlink" Target="https://drive.google.com/file/d/1yKhGAHt7TDh7X1CHE3mH8ohYEqWoVt3u/view?usp=drive_link" TargetMode="External"/><Relationship Id="rId106" Type="http://schemas.openxmlformats.org/officeDocument/2006/relationships/hyperlink" Target="https://drive.google.com/file/d/1ZunDjK6OWGLdR4QWyYyie4U3r3j5CumF/view?usp=drive_link" TargetMode="External"/><Relationship Id="rId105" Type="http://schemas.openxmlformats.org/officeDocument/2006/relationships/hyperlink" Target="https://drive.google.com/file/d/1tXa1ZsRNQvTtfij23i8gdjXal3QfPCcM/view?usp=drive_link" TargetMode="External"/><Relationship Id="rId104" Type="http://schemas.openxmlformats.org/officeDocument/2006/relationships/hyperlink" Target="https://drive.google.com/file/d/1NSZ3e_yw4N3m6iqZ2rT-1eOMsyeKM4gL/view?usp=drive_link" TargetMode="External"/><Relationship Id="rId108" Type="http://schemas.openxmlformats.org/officeDocument/2006/relationships/drawing" Target="../drawings/drawing1.xml"/><Relationship Id="rId48" Type="http://schemas.openxmlformats.org/officeDocument/2006/relationships/hyperlink" Target="https://drive.google.com/file/d/16FTbSMrmVkjD5Ntz75B9ujBRTKcpfSkD/view?usp=drive_link" TargetMode="External"/><Relationship Id="rId47" Type="http://schemas.openxmlformats.org/officeDocument/2006/relationships/hyperlink" Target="https://drive.google.com/file/d/1O0tn94qUUd09z8ByW5fzf-ncrq8AYyey/view?usp=drive_link" TargetMode="External"/><Relationship Id="rId49" Type="http://schemas.openxmlformats.org/officeDocument/2006/relationships/hyperlink" Target="https://drive.google.com/file/d/1LtWm_cMCNAfMaRFZq47-USH0Yl43jT7X/view?usp=drive_link" TargetMode="External"/><Relationship Id="rId103" Type="http://schemas.openxmlformats.org/officeDocument/2006/relationships/hyperlink" Target="https://drive.google.com/file/d/1ZFhKye-37oDaAbJdWtdsnXCXvCav4bA2/view?usp=drive_link" TargetMode="External"/><Relationship Id="rId102" Type="http://schemas.openxmlformats.org/officeDocument/2006/relationships/hyperlink" Target="https://drive.google.com/file/d/1iQM4EIC5vkqBvN1Z2H_tXGYpvwqYKaZs/view?usp=drive_link" TargetMode="External"/><Relationship Id="rId101" Type="http://schemas.openxmlformats.org/officeDocument/2006/relationships/hyperlink" Target="https://drive.google.com/file/d/1B5QngRvBLMWnHK54wyI2CBVbXO3PXHxH/view?usp=drive_link" TargetMode="External"/><Relationship Id="rId100" Type="http://schemas.openxmlformats.org/officeDocument/2006/relationships/hyperlink" Target="https://drive.google.com/file/d/18Rms6n8f4SV_nCfu25a0GmbWGqFqXS2p/view?usp=drive_link" TargetMode="External"/><Relationship Id="rId31" Type="http://schemas.openxmlformats.org/officeDocument/2006/relationships/hyperlink" Target="https://drive.google.com/file/d/141DTCGBkXn-NytguSipMcXYtqkOQpwYB/view?usp=drive_link" TargetMode="External"/><Relationship Id="rId30" Type="http://schemas.openxmlformats.org/officeDocument/2006/relationships/hyperlink" Target="https://drive.google.com/file/d/1WKIZm7NzKRSKZWvKbv2dqGDdxShiHBqv/view?usp=drive_link" TargetMode="External"/><Relationship Id="rId33" Type="http://schemas.openxmlformats.org/officeDocument/2006/relationships/hyperlink" Target="https://drive.google.com/file/d/12xj51XqCssUujhbC9cjqm7zkspnnK-Vu/view?usp=drive_link" TargetMode="External"/><Relationship Id="rId32" Type="http://schemas.openxmlformats.org/officeDocument/2006/relationships/hyperlink" Target="https://drive.google.com/file/d/1ueZO79loh844LznuRWhqPi-pLoiRG20S/view?usp=drive_link" TargetMode="External"/><Relationship Id="rId35" Type="http://schemas.openxmlformats.org/officeDocument/2006/relationships/hyperlink" Target="https://drive.google.com/file/d/1_2V4qbp8uKvt4Hd5WH28d8yVbOrb_MMd/view?usp=drive_link" TargetMode="External"/><Relationship Id="rId34" Type="http://schemas.openxmlformats.org/officeDocument/2006/relationships/hyperlink" Target="https://drive.google.com/file/d/1AvAQXGqcFDn8DhFVP1Eqh-pDcUtNvLA_/view?usp=drive_link" TargetMode="External"/><Relationship Id="rId37" Type="http://schemas.openxmlformats.org/officeDocument/2006/relationships/hyperlink" Target="https://drive.google.com/file/d/1Zj_ZDkUMHgBWKfjku2WDJYj5fTkHHanS/view?usp=drive_link" TargetMode="External"/><Relationship Id="rId36" Type="http://schemas.openxmlformats.org/officeDocument/2006/relationships/hyperlink" Target="https://drive.google.com/file/d/1lPWDp4eSELU_jFBAFPEwAjUU6rH2MVur/view?usp=drive_link" TargetMode="External"/><Relationship Id="rId39" Type="http://schemas.openxmlformats.org/officeDocument/2006/relationships/hyperlink" Target="https://drive.google.com/file/d/11vKXALx6acH75Cw9_rUWXD1pEAZ2anwq/view?usp=drive_link" TargetMode="External"/><Relationship Id="rId38" Type="http://schemas.openxmlformats.org/officeDocument/2006/relationships/hyperlink" Target="https://drive.google.com/file/d/1pttZEg5nbMspvHuasnZWpDJVfLTYj2Bk/view?usp=drive_link" TargetMode="External"/><Relationship Id="rId20" Type="http://schemas.openxmlformats.org/officeDocument/2006/relationships/hyperlink" Target="https://drive.google.com/file/d/1lIYkpf5sGdZijZ3Slxx8c5bygNVP4VSE/view?usp=drive_link" TargetMode="External"/><Relationship Id="rId22" Type="http://schemas.openxmlformats.org/officeDocument/2006/relationships/hyperlink" Target="https://drive.google.com/file/d/1en7Yjrlq3lqdSVrKyp5XK39sKif7uzM_/view?usp=drive_link" TargetMode="External"/><Relationship Id="rId21" Type="http://schemas.openxmlformats.org/officeDocument/2006/relationships/hyperlink" Target="https://drive.google.com/file/d/165QcjZao3b9MT1MNkwVb1QmKDDTjkne5/view?usp=drive_link" TargetMode="External"/><Relationship Id="rId24" Type="http://schemas.openxmlformats.org/officeDocument/2006/relationships/hyperlink" Target="https://drive.google.com/file/d/11DA1cbZtgpcaDcS9tL35n3NWF6wbuC4T/view?usp=drive_link" TargetMode="External"/><Relationship Id="rId23" Type="http://schemas.openxmlformats.org/officeDocument/2006/relationships/hyperlink" Target="https://drive.google.com/file/d/1opvkk9vjhobVGg-soJfy9vLyitfQ4h87/view?usp=drive_link" TargetMode="External"/><Relationship Id="rId26" Type="http://schemas.openxmlformats.org/officeDocument/2006/relationships/hyperlink" Target="https://drive.google.com/file/d/1K74-0yXsX9DoBEj_I-s4bgcc_bHp_f2O/view?usp=drive_link" TargetMode="External"/><Relationship Id="rId25" Type="http://schemas.openxmlformats.org/officeDocument/2006/relationships/hyperlink" Target="https://drive.google.com/file/d/1kLhc0UvNHMYEEOVn0XNaWhsKY5E1wLm8/view?usp=drive_link" TargetMode="External"/><Relationship Id="rId28" Type="http://schemas.openxmlformats.org/officeDocument/2006/relationships/hyperlink" Target="https://drive.google.com/file/d/1668DH3r_0wVnjDz4aaPert0eQUQ_1T3D/view?usp=drive_link" TargetMode="External"/><Relationship Id="rId27" Type="http://schemas.openxmlformats.org/officeDocument/2006/relationships/hyperlink" Target="https://drive.google.com/file/d/1fkNrEnFuBV2VHu1g5GtyKKQblxB9DpgK/view?usp=drive_link" TargetMode="External"/><Relationship Id="rId29" Type="http://schemas.openxmlformats.org/officeDocument/2006/relationships/hyperlink" Target="https://drive.google.com/file/d/1_zy3gUZQ0msgWJKTgU09sOD4DHqBmjvy/view?usp=drive_link" TargetMode="External"/><Relationship Id="rId95" Type="http://schemas.openxmlformats.org/officeDocument/2006/relationships/hyperlink" Target="https://drive.google.com/file/d/1r4R3LXK8bBQ6n_X-5vQ0lXrIYp4B9a2H/view?usp=drive_link" TargetMode="External"/><Relationship Id="rId94" Type="http://schemas.openxmlformats.org/officeDocument/2006/relationships/hyperlink" Target="https://drive.google.com/file/d/1xJrMOwdX3Uhgb5QKzv-BDeojk_H7zoaO/view?usp=drive_link" TargetMode="External"/><Relationship Id="rId97" Type="http://schemas.openxmlformats.org/officeDocument/2006/relationships/hyperlink" Target="https://drive.google.com/file/d/1WOa1_415gnwW0c__XCIP5476xqMmhEW-/view?usp=drive_link" TargetMode="External"/><Relationship Id="rId96" Type="http://schemas.openxmlformats.org/officeDocument/2006/relationships/hyperlink" Target="https://drive.google.com/file/d/1egnELdt5c3A1bKV9WXgWDlBkX9TvD1Di/view?usp=sharing" TargetMode="External"/><Relationship Id="rId11" Type="http://schemas.openxmlformats.org/officeDocument/2006/relationships/hyperlink" Target="https://drive.google.com/file/d/1lNVy8lHO4pQofRjgvya5wFSgRyxmTxO4/view?usp=drive_link" TargetMode="External"/><Relationship Id="rId99" Type="http://schemas.openxmlformats.org/officeDocument/2006/relationships/hyperlink" Target="https://drive.google.com/file/d/1MZSdAmlyFa36XmnJNBtrEaY2-Cx97LdB/view?usp=drive_link" TargetMode="External"/><Relationship Id="rId10" Type="http://schemas.openxmlformats.org/officeDocument/2006/relationships/hyperlink" Target="https://drive.google.com/file/d/1vz1urgyKhSCcRc0UMbCW-eKzhX3X8WPK/view?usp=drive_link" TargetMode="External"/><Relationship Id="rId98" Type="http://schemas.openxmlformats.org/officeDocument/2006/relationships/hyperlink" Target="https://drive.google.com/file/d/1GhUs8ZNFYqj2EG14PIz-jJIUE2ex6ffe/view?usp=drive_link" TargetMode="External"/><Relationship Id="rId13" Type="http://schemas.openxmlformats.org/officeDocument/2006/relationships/hyperlink" Target="https://drive.google.com/file/d/1JdaaKnH7MP7QsGJlLLX2jEmt45sLbC13/view?usp=sharing" TargetMode="External"/><Relationship Id="rId12" Type="http://schemas.openxmlformats.org/officeDocument/2006/relationships/hyperlink" Target="https://drive.google.com/file/d/1yBuS8HNuaVgU3eox5mIfSUtK4Z2UFuDy/view?usp=drive_link" TargetMode="External"/><Relationship Id="rId91" Type="http://schemas.openxmlformats.org/officeDocument/2006/relationships/hyperlink" Target="https://drive.google.com/file/d/1XZfJPfmI36LQ6tWYfb24o8JssELHh-ZU/view?usp=drive_link" TargetMode="External"/><Relationship Id="rId90" Type="http://schemas.openxmlformats.org/officeDocument/2006/relationships/hyperlink" Target="https://drive.google.com/file/d/1tqEe5ly7ZSfsgWlfVXrTzrrITsKEd2Ng/view?usp=drive_link" TargetMode="External"/><Relationship Id="rId93" Type="http://schemas.openxmlformats.org/officeDocument/2006/relationships/hyperlink" Target="https://drive.google.com/file/d/1ipcTnYrSJEtXLvfzQFq81rpCRGndkoVm/view?usp=drive_link" TargetMode="External"/><Relationship Id="rId92" Type="http://schemas.openxmlformats.org/officeDocument/2006/relationships/hyperlink" Target="https://drive.google.com/file/d/1i1CEQZL5iK_GSckr6TtLT4gJtftCkDtN/view?usp=drive_link" TargetMode="External"/><Relationship Id="rId15" Type="http://schemas.openxmlformats.org/officeDocument/2006/relationships/hyperlink" Target="https://drive.google.com/file/d/1l-Hle59YqnJIWlfXoDJK0TPyDBDXg2wV/view?usp=drive_link" TargetMode="External"/><Relationship Id="rId110" Type="http://schemas.openxmlformats.org/officeDocument/2006/relationships/table" Target="../tables/table1.xml"/><Relationship Id="rId14" Type="http://schemas.openxmlformats.org/officeDocument/2006/relationships/hyperlink" Target="https://drive.google.com/file/d/1mLB6q7wz9WgkigLLzFhHlMmhGCwncUHG/view?usp=sharing" TargetMode="External"/><Relationship Id="rId17" Type="http://schemas.openxmlformats.org/officeDocument/2006/relationships/hyperlink" Target="https://drive.google.com/file/d/1g-R53IkOKLQmExaFJlQ_W5v-Ggz1BgTw/view?usp=drive_link" TargetMode="External"/><Relationship Id="rId16" Type="http://schemas.openxmlformats.org/officeDocument/2006/relationships/hyperlink" Target="https://drive.google.com/file/d/1088wBRS_FulZILkh84NNW6u5iw1Fc1-t/view?usp=drive_link" TargetMode="External"/><Relationship Id="rId19" Type="http://schemas.openxmlformats.org/officeDocument/2006/relationships/hyperlink" Target="https://drive.google.com/file/d/1Ey-xISKn5_INOgn594qFQ0NAwbp7h3-B/view?usp=drive_link" TargetMode="External"/><Relationship Id="rId18" Type="http://schemas.openxmlformats.org/officeDocument/2006/relationships/hyperlink" Target="https://drive.google.com/file/d/14w7uExDS2-S7W2PKE0OWqb-AUo5mMrqu/view?usp=drive_link" TargetMode="External"/><Relationship Id="rId84" Type="http://schemas.openxmlformats.org/officeDocument/2006/relationships/hyperlink" Target="https://drive.google.com/file/d/1ypRSrbkE39ftsi2jnpu8XktbyyklLJV0/view?usp=drive_link" TargetMode="External"/><Relationship Id="rId83" Type="http://schemas.openxmlformats.org/officeDocument/2006/relationships/hyperlink" Target="https://drive.google.com/file/d/1dLilzp9GbqAoywRvSWShsQMJWfyLFQ5d/view?usp=drive_link" TargetMode="External"/><Relationship Id="rId86" Type="http://schemas.openxmlformats.org/officeDocument/2006/relationships/hyperlink" Target="https://drive.google.com/file/d/1qwsudmRxV3uXWvXGu2eWU7jTuUuX0qvj/view?usp=drive_link" TargetMode="External"/><Relationship Id="rId85" Type="http://schemas.openxmlformats.org/officeDocument/2006/relationships/hyperlink" Target="https://drive.google.com/file/d/1sfSZPILSInPoA04ycAYOb1KcE321Alfn/view?usp=drive_link" TargetMode="External"/><Relationship Id="rId88" Type="http://schemas.openxmlformats.org/officeDocument/2006/relationships/hyperlink" Target="https://drive.google.com/file/d/1s7SrlTgg9ntPKfstUHG9db9SRvHKtlcB/view?usp=drive_link" TargetMode="External"/><Relationship Id="rId87" Type="http://schemas.openxmlformats.org/officeDocument/2006/relationships/hyperlink" Target="https://drive.google.com/file/d/1jgX8zmeX6Yu-qFf3rlD54wZHnxk6G2d5/view?usp=drive_link" TargetMode="External"/><Relationship Id="rId89" Type="http://schemas.openxmlformats.org/officeDocument/2006/relationships/hyperlink" Target="https://drive.google.com/file/d/1W5_Lv-kFY3EeybVVHw_j37Q1P-A8n1Jq/view?usp=drive_link" TargetMode="External"/><Relationship Id="rId80" Type="http://schemas.openxmlformats.org/officeDocument/2006/relationships/hyperlink" Target="https://drive.google.com/file/d/1N71OS9RreA3F7GyIdlinOr5yKpW0sZv-/view?usp=drive_link" TargetMode="External"/><Relationship Id="rId82" Type="http://schemas.openxmlformats.org/officeDocument/2006/relationships/hyperlink" Target="https://drive.google.com/file/d/1FXBM7eOOFGUBg6B-NSdqd7fElJBziFvk/view?usp=drive_link" TargetMode="External"/><Relationship Id="rId81" Type="http://schemas.openxmlformats.org/officeDocument/2006/relationships/hyperlink" Target="https://drive.google.com/file/d/19zfT8t281krPOtLqAXoi0LfIh_nu4F2N/view?usp=drive_link" TargetMode="External"/><Relationship Id="rId1" Type="http://schemas.openxmlformats.org/officeDocument/2006/relationships/hyperlink" Target="https://drive.google.com/file/d/1ugPrNBh3tvq1DMLI2yuWImHg-Ne8TfOT/view?usp=drive_link" TargetMode="External"/><Relationship Id="rId2" Type="http://schemas.openxmlformats.org/officeDocument/2006/relationships/hyperlink" Target="https://drive.google.com/file/d/1NqtR817WlmotJTZ46o9MUGoj8OgAiB5t/view?usp=drive_link" TargetMode="External"/><Relationship Id="rId3" Type="http://schemas.openxmlformats.org/officeDocument/2006/relationships/hyperlink" Target="https://drive.google.com/file/d/1XUQU4NFGBvRyYpxN3DNfuOtHGzu1sRck/view?usp=drive_link" TargetMode="External"/><Relationship Id="rId4" Type="http://schemas.openxmlformats.org/officeDocument/2006/relationships/hyperlink" Target="https://drive.google.com/file/d/1mEquHWcJa70wpfrcHIfeGz8EN2ZAGZSP/view?usp=drive_link" TargetMode="External"/><Relationship Id="rId9" Type="http://schemas.openxmlformats.org/officeDocument/2006/relationships/hyperlink" Target="https://drive.google.com/file/d/1x3s8x0M2grCIl1r-cdg7iP8ugNwLBLkZ/view?usp=drive_link" TargetMode="External"/><Relationship Id="rId5" Type="http://schemas.openxmlformats.org/officeDocument/2006/relationships/hyperlink" Target="https://drive.google.com/file/d/1C1Z_S0gs_UfGYZxcmvYny0Gt5jWARDzV/view?usp=drive_link" TargetMode="External"/><Relationship Id="rId6" Type="http://schemas.openxmlformats.org/officeDocument/2006/relationships/hyperlink" Target="https://drive.google.com/file/d/1sfSb_H_zlVQBYGkp_vjp8TmzxZ8f_Asp/view?usp=drive_link" TargetMode="External"/><Relationship Id="rId7" Type="http://schemas.openxmlformats.org/officeDocument/2006/relationships/hyperlink" Target="https://drive.google.com/file/d/1BUd8JVkJDjcA7AMLIx1l84uEDhfkW5iW/view?usp=drive_link" TargetMode="External"/><Relationship Id="rId8" Type="http://schemas.openxmlformats.org/officeDocument/2006/relationships/hyperlink" Target="https://drive.google.com/file/d/1vczDvX9PtWSgoKJLnSWABNK06MLkPaqS/view?usp=drive_link" TargetMode="External"/><Relationship Id="rId73" Type="http://schemas.openxmlformats.org/officeDocument/2006/relationships/hyperlink" Target="https://drive.google.com/file/d/1NGvk9Tp5kLaT_9GO6NU1-wU6W9-YOyXo/view?usp=drive_link" TargetMode="External"/><Relationship Id="rId72" Type="http://schemas.openxmlformats.org/officeDocument/2006/relationships/hyperlink" Target="https://drive.google.com/file/d/1Uy1L31Gs3wOptO1h-QZhUYtvH4SM63vX/view?usp=drive_link" TargetMode="External"/><Relationship Id="rId75" Type="http://schemas.openxmlformats.org/officeDocument/2006/relationships/hyperlink" Target="https://drive.google.com/file/d/1Pm3Y81SbunCVeKFPahfRR_TtVWSrdz9R/view?usp=drive_link" TargetMode="External"/><Relationship Id="rId74" Type="http://schemas.openxmlformats.org/officeDocument/2006/relationships/hyperlink" Target="https://drive.google.com/file/d/1zoR1GgA9PRjFpyL3aYTiIruBugVe7ksI/view?usp=drive_link" TargetMode="External"/><Relationship Id="rId77" Type="http://schemas.openxmlformats.org/officeDocument/2006/relationships/hyperlink" Target="https://drive.google.com/file/d/1SkFP6aYA_TzeVAng-2l2zhPElhusQcNJ/view?usp=drive_link" TargetMode="External"/><Relationship Id="rId76" Type="http://schemas.openxmlformats.org/officeDocument/2006/relationships/hyperlink" Target="https://drive.google.com/file/d/1Rv_ZXdMeiaZ-sCYZTgTSjXzFup9lXJhC/view?usp=drive_link" TargetMode="External"/><Relationship Id="rId79" Type="http://schemas.openxmlformats.org/officeDocument/2006/relationships/hyperlink" Target="https://drive.google.com/file/d/1br05laLhe5gDiiG5HSpChKd5Ts8YI_nd/view?usp=drive_link" TargetMode="External"/><Relationship Id="rId78" Type="http://schemas.openxmlformats.org/officeDocument/2006/relationships/hyperlink" Target="https://drive.google.com/file/d/1ApCQS1wJ1hSUvtH03kEXWi4f-LpegnfB/view?usp=drive_link" TargetMode="External"/><Relationship Id="rId71" Type="http://schemas.openxmlformats.org/officeDocument/2006/relationships/hyperlink" Target="https://drive.google.com/file/d/17eB11Y8eXv1Nn1bKMwlPiOc_dLbz6Lbg/view?usp=drive_link" TargetMode="External"/><Relationship Id="rId70" Type="http://schemas.openxmlformats.org/officeDocument/2006/relationships/hyperlink" Target="https://drive.google.com/file/d/1fblKJ8cjKk-lmx_24vaaQ7tSDlAFJhOp/view?usp=drive_link" TargetMode="External"/><Relationship Id="rId62" Type="http://schemas.openxmlformats.org/officeDocument/2006/relationships/hyperlink" Target="https://drive.google.com/file/d/15xG56TBkQJqkp6k50cAVHp-W62l7wlLx/view?usp=drive_link" TargetMode="External"/><Relationship Id="rId61" Type="http://schemas.openxmlformats.org/officeDocument/2006/relationships/hyperlink" Target="https://drive.google.com/file/d/1ynh8x5DA3nFumJqVqxtHV6wlygRBwEAW/view?usp=drive_link" TargetMode="External"/><Relationship Id="rId64" Type="http://schemas.openxmlformats.org/officeDocument/2006/relationships/hyperlink" Target="https://drive.google.com/file/d/1jIF09-2Zqpsz02Kn5rQd-wS0AYA4IC2h/view?usp=drive_link" TargetMode="External"/><Relationship Id="rId63" Type="http://schemas.openxmlformats.org/officeDocument/2006/relationships/hyperlink" Target="https://drive.google.com/file/d/1dWCyDw82d6ZA7EExAsgxp_R4I9p7knE5/view?usp=drive_link" TargetMode="External"/><Relationship Id="rId66" Type="http://schemas.openxmlformats.org/officeDocument/2006/relationships/hyperlink" Target="https://drive.google.com/file/d/12jAi1dfw1dIL2SY_y3OiAVk3Ur0TQeMO/view?usp=drive_link" TargetMode="External"/><Relationship Id="rId65" Type="http://schemas.openxmlformats.org/officeDocument/2006/relationships/hyperlink" Target="https://drive.google.com/file/d/1u7-49Nw-fy-SRonUobTboT6dTAFWikj7/view?usp=drive_link" TargetMode="External"/><Relationship Id="rId68" Type="http://schemas.openxmlformats.org/officeDocument/2006/relationships/hyperlink" Target="https://drive.google.com/file/d/1ryNFZXZFU9s7PL7hxgJKehDwc6olfvOU/view?usp=drive_link" TargetMode="External"/><Relationship Id="rId67" Type="http://schemas.openxmlformats.org/officeDocument/2006/relationships/hyperlink" Target="https://drive.google.com/file/d/1nfyiroN06ZB4qaLlfSrXfwH_Ive31o_-/view?usp=drive_link" TargetMode="External"/><Relationship Id="rId60" Type="http://schemas.openxmlformats.org/officeDocument/2006/relationships/hyperlink" Target="https://drive.google.com/file/d/1J6qth2FQeSKkJfnRK2B9BSfTyABC2SGp/view?usp=drive_link" TargetMode="External"/><Relationship Id="rId69" Type="http://schemas.openxmlformats.org/officeDocument/2006/relationships/hyperlink" Target="https://drive.google.com/file/d/1ytfelDENFbpx2-wiCXC7TX8Jl-CUzlup/view?usp=drive_link" TargetMode="External"/><Relationship Id="rId51" Type="http://schemas.openxmlformats.org/officeDocument/2006/relationships/hyperlink" Target="https://drive.google.com/file/d/1AfqaxbQlg2UJwf1Bb5hPO2AIw95KYY6I/view?usp=drive_link" TargetMode="External"/><Relationship Id="rId50" Type="http://schemas.openxmlformats.org/officeDocument/2006/relationships/hyperlink" Target="https://drive.google.com/file/d/1w-YKhilDA0EbDhKHtOi4uMZPj1lddBmH/view?usp=drive_link" TargetMode="External"/><Relationship Id="rId53" Type="http://schemas.openxmlformats.org/officeDocument/2006/relationships/hyperlink" Target="https://drive.google.com/file/d/11PkQDTF3z16x-yZb0Q4C345dnGGhd84Y/view?usp=drive_link" TargetMode="External"/><Relationship Id="rId52" Type="http://schemas.openxmlformats.org/officeDocument/2006/relationships/hyperlink" Target="https://drive.google.com/file/d/1JMQ_HwtnwK-7yR_b4e-1V57kH53lFiVy/view?usp=drive_link" TargetMode="External"/><Relationship Id="rId55" Type="http://schemas.openxmlformats.org/officeDocument/2006/relationships/hyperlink" Target="https://drive.google.com/file/d/1L1LGjPYIyGDpyX7u9qyFv3d9AJJLmxFA/view?usp=drive_link" TargetMode="External"/><Relationship Id="rId54" Type="http://schemas.openxmlformats.org/officeDocument/2006/relationships/hyperlink" Target="https://drive.google.com/file/d/1LMEUT1_-DTPasCXTwSYjxkRQqm3_dp6f/view?usp=drive_link" TargetMode="External"/><Relationship Id="rId57" Type="http://schemas.openxmlformats.org/officeDocument/2006/relationships/hyperlink" Target="https://drive.google.com/file/d/1cAa3vJdptbiE20qThaS9Ke205F256X-X/view?usp=drive_link" TargetMode="External"/><Relationship Id="rId56" Type="http://schemas.openxmlformats.org/officeDocument/2006/relationships/hyperlink" Target="https://drive.google.com/file/d/1acQ4n47SN4Wt3h3H6cplMu0z014eLt3E/view?usp=drive_link" TargetMode="External"/><Relationship Id="rId59" Type="http://schemas.openxmlformats.org/officeDocument/2006/relationships/hyperlink" Target="https://drive.google.com/file/d/1Z_akCx-rduNN43ozU-DywbRJQSg5kRDQ/view?usp=drive_link" TargetMode="External"/><Relationship Id="rId58" Type="http://schemas.openxmlformats.org/officeDocument/2006/relationships/hyperlink" Target="https://drive.google.com/file/d/1LetnV3S4VYISpskU8bNR1UdvzcGPaKTN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conversight.ai" TargetMode="External"/><Relationship Id="rId2" Type="http://schemas.openxmlformats.org/officeDocument/2006/relationships/hyperlink" Target="http://conversight.ai" TargetMode="External"/><Relationship Id="rId3" Type="http://schemas.openxmlformats.org/officeDocument/2006/relationships/hyperlink" Target="http://conversight.ai" TargetMode="External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5.38"/>
    <col customWidth="1" min="2" max="2" width="14.88"/>
    <col customWidth="1" min="3" max="3" width="31.88"/>
    <col customWidth="1" min="4" max="4" width="46.88"/>
    <col customWidth="1" min="5" max="5" width="35.38"/>
    <col customWidth="1" min="6" max="6" width="9.38"/>
    <col customWidth="1" min="10" max="10" width="26.13"/>
    <col customWidth="1" min="11" max="11" width="34.13"/>
    <col customWidth="1" min="13" max="13" width="10.5"/>
    <col customWidth="1" min="18" max="18" width="15.88"/>
    <col customWidth="1" min="20" max="20" width="15.0"/>
    <col customWidth="1" min="22" max="22" width="19.13"/>
    <col customWidth="1" min="24" max="24" width="19.63"/>
    <col customWidth="1" min="25" max="25" width="28.25"/>
  </cols>
  <sheetData>
    <row r="1" ht="46.5" customHeight="1">
      <c r="A1" s="2" t="s">
        <v>1</v>
      </c>
      <c r="B1" s="4" t="s">
        <v>9</v>
      </c>
      <c r="C1" s="4" t="s">
        <v>2</v>
      </c>
      <c r="D1" s="4" t="s">
        <v>13</v>
      </c>
      <c r="E1" s="6" t="s">
        <v>16</v>
      </c>
      <c r="F1" s="6" t="s">
        <v>19</v>
      </c>
      <c r="G1" s="6" t="s">
        <v>21</v>
      </c>
      <c r="H1" s="7" t="s">
        <v>25</v>
      </c>
      <c r="I1" s="4" t="s">
        <v>27</v>
      </c>
      <c r="J1" s="6" t="s">
        <v>28</v>
      </c>
      <c r="K1" s="6" t="s">
        <v>30</v>
      </c>
      <c r="L1" s="6" t="s">
        <v>33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  <c r="V1" s="6" t="s">
        <v>43</v>
      </c>
      <c r="W1" s="7" t="s">
        <v>44</v>
      </c>
      <c r="X1" s="7" t="s">
        <v>45</v>
      </c>
      <c r="Y1" s="7" t="s">
        <v>46</v>
      </c>
      <c r="Z1" s="9"/>
      <c r="AA1" s="9"/>
      <c r="AB1" s="9"/>
      <c r="AC1" s="9"/>
      <c r="AD1" s="9"/>
    </row>
    <row r="2">
      <c r="A2" s="14">
        <f t="array" ref="A2:A986">IF(B2:B986="","",ROW(B2:B986)-1)</f>
        <v>1</v>
      </c>
      <c r="B2" s="15" t="s">
        <v>54</v>
      </c>
      <c r="C2" s="16" t="str">
        <f>IFERROR(__xludf.DUMMYFUNCTION("XLOOKUP(B2,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""-"")"),"GOWRIPRASATH VENKATACHALAM")</f>
        <v>GOWRIPRASATH VENKATACHALAM</v>
      </c>
      <c r="D2" s="17" t="str">
        <f>IFERROR(__xludf.DUMMYFUNCTION("XLOOKUP(B2,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""-"")"),"ARTIFICIAL INTELLIGENCE AND DATA SCIENCE")</f>
        <v>ARTIFICIAL INTELLIGENCE AND DATA SCIENCE</v>
      </c>
      <c r="E2" s="15" t="s">
        <v>58</v>
      </c>
      <c r="F2" s="14">
        <v>5.0</v>
      </c>
      <c r="G2" s="14" t="s">
        <v>59</v>
      </c>
      <c r="H2" s="14" t="s">
        <v>60</v>
      </c>
      <c r="I2" s="14" t="s">
        <v>62</v>
      </c>
      <c r="J2" s="14" t="s">
        <v>63</v>
      </c>
      <c r="K2" s="17" t="str">
        <f>IFERROR(__xludf.DUMMYFUNCTION("XLOOKUP(B2,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""-"")"),"gowriprasath.ad23@bitsathy.ac.in")</f>
        <v>gowriprasath.ad23@bitsathy.ac.in</v>
      </c>
      <c r="L2" s="21" t="str">
        <f>IFERROR(__xludf.DUMMYFUNCTION("XLOOKUP(B2,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""-"")"),"9597932727")</f>
        <v>9597932727</v>
      </c>
      <c r="M2" s="14" t="s">
        <v>71</v>
      </c>
      <c r="N2" s="14" t="s">
        <v>72</v>
      </c>
      <c r="O2" s="14" t="s">
        <v>74</v>
      </c>
      <c r="P2" s="21"/>
      <c r="Q2" s="21"/>
      <c r="R2" s="14" t="s">
        <v>75</v>
      </c>
      <c r="S2" s="21"/>
      <c r="T2" s="21"/>
      <c r="U2" s="21"/>
      <c r="V2" s="21"/>
      <c r="W2" s="21"/>
      <c r="X2" s="21"/>
      <c r="Y2" s="21"/>
      <c r="Z2" s="22"/>
      <c r="AA2" s="22"/>
      <c r="AB2" s="22"/>
      <c r="AC2" s="22"/>
      <c r="AD2" s="22"/>
    </row>
    <row r="3">
      <c r="A3" s="21">
        <v>2.0</v>
      </c>
      <c r="B3" s="15" t="s">
        <v>78</v>
      </c>
      <c r="C3" s="16" t="str">
        <f>IFERROR(__xludf.DUMMYFUNCTION("XLOOKUP(B3,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""-"")"),"HARSHIKA  M")</f>
        <v>HARSHIKA  M</v>
      </c>
      <c r="D3" s="17" t="str">
        <f>IFERROR(__xludf.DUMMYFUNCTION("XLOOKUP(B3,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""-"")"),"ARTIFICIAL INTELLIGENCE AND DATA SCIENCE")</f>
        <v>ARTIFICIAL INTELLIGENCE AND DATA SCIENCE</v>
      </c>
      <c r="E3" s="15" t="s">
        <v>58</v>
      </c>
      <c r="F3" s="14">
        <v>5.0</v>
      </c>
      <c r="G3" s="14" t="s">
        <v>59</v>
      </c>
      <c r="H3" s="14" t="s">
        <v>60</v>
      </c>
      <c r="I3" s="14" t="s">
        <v>62</v>
      </c>
      <c r="J3" s="14" t="s">
        <v>63</v>
      </c>
      <c r="K3" s="17" t="str">
        <f>IFERROR(__xludf.DUMMYFUNCTION("XLOOKUP(B3,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""-"")"),"harshika.ad23@bitsathy.ac.in")</f>
        <v>harshika.ad23@bitsathy.ac.in</v>
      </c>
      <c r="L3" s="21" t="str">
        <f>IFERROR(__xludf.DUMMYFUNCTION("XLOOKUP(B3,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""-"")"),"8838239950")</f>
        <v>8838239950</v>
      </c>
      <c r="M3" s="14" t="s">
        <v>71</v>
      </c>
      <c r="N3" s="14" t="s">
        <v>72</v>
      </c>
      <c r="O3" s="14" t="s">
        <v>74</v>
      </c>
      <c r="P3" s="21"/>
      <c r="Q3" s="21"/>
      <c r="R3" s="14" t="s">
        <v>75</v>
      </c>
      <c r="S3" s="21"/>
      <c r="T3" s="21"/>
      <c r="U3" s="21"/>
      <c r="V3" s="21"/>
      <c r="W3" s="21"/>
      <c r="X3" s="21"/>
      <c r="Y3" s="21"/>
      <c r="Z3" s="22"/>
      <c r="AA3" s="22"/>
      <c r="AB3" s="22"/>
      <c r="AC3" s="22"/>
      <c r="AD3" s="22"/>
    </row>
    <row r="4">
      <c r="A4" s="21">
        <v>3.0</v>
      </c>
      <c r="B4" s="15" t="s">
        <v>81</v>
      </c>
      <c r="C4" s="16" t="str">
        <f>IFERROR(__xludf.DUMMYFUNCTION("XLOOKUP(B4,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""-"")"),"ARVINDH S")</f>
        <v>ARVINDH S</v>
      </c>
      <c r="D4" s="17" t="str">
        <f>IFERROR(__xludf.DUMMYFUNCTION("XLOOKUP(B4,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""-"")"),"INFORMATION TECHNOLOGY")</f>
        <v>INFORMATION TECHNOLOGY</v>
      </c>
      <c r="E4" s="15" t="s">
        <v>58</v>
      </c>
      <c r="F4" s="14">
        <v>5.0</v>
      </c>
      <c r="G4" s="14" t="s">
        <v>59</v>
      </c>
      <c r="H4" s="14" t="s">
        <v>60</v>
      </c>
      <c r="I4" s="14" t="s">
        <v>62</v>
      </c>
      <c r="J4" s="14" t="s">
        <v>63</v>
      </c>
      <c r="K4" s="17" t="str">
        <f>IFERROR(__xludf.DUMMYFUNCTION("XLOOKUP(B4,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""-"")"),"arvindh.it23@bitsathy.ac.in")</f>
        <v>arvindh.it23@bitsathy.ac.in</v>
      </c>
      <c r="L4" s="21" t="str">
        <f>IFERROR(__xludf.DUMMYFUNCTION("XLOOKUP(B4,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""-"")"),"9626163456")</f>
        <v>9626163456</v>
      </c>
      <c r="M4" s="14" t="s">
        <v>71</v>
      </c>
      <c r="N4" s="14" t="s">
        <v>72</v>
      </c>
      <c r="O4" s="14" t="s">
        <v>74</v>
      </c>
      <c r="P4" s="21"/>
      <c r="Q4" s="21"/>
      <c r="R4" s="14" t="s">
        <v>75</v>
      </c>
      <c r="S4" s="21"/>
      <c r="T4" s="21"/>
      <c r="U4" s="21"/>
      <c r="V4" s="21"/>
      <c r="W4" s="21"/>
      <c r="X4" s="21"/>
      <c r="Y4" s="21"/>
      <c r="Z4" s="22"/>
      <c r="AA4" s="22"/>
      <c r="AB4" s="22"/>
      <c r="AC4" s="22"/>
      <c r="AD4" s="22"/>
    </row>
    <row r="5">
      <c r="A5" s="21">
        <v>4.0</v>
      </c>
      <c r="B5" s="15" t="s">
        <v>85</v>
      </c>
      <c r="C5" s="16" t="str">
        <f>IFERROR(__xludf.DUMMYFUNCTION("XLOOKUP(B5,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""-"")"),"PRANEETH K A")</f>
        <v>PRANEETH K A</v>
      </c>
      <c r="D5" s="17" t="str">
        <f>IFERROR(__xludf.DUMMYFUNCTION("XLOOKUP(B5,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""-"")"),"ARTIFICIAL INTELLIGENCE AND DATA SCIENCE")</f>
        <v>ARTIFICIAL INTELLIGENCE AND DATA SCIENCE</v>
      </c>
      <c r="E5" s="25" t="s">
        <v>58</v>
      </c>
      <c r="F5" s="14">
        <v>5.0</v>
      </c>
      <c r="G5" s="14" t="s">
        <v>59</v>
      </c>
      <c r="H5" s="14" t="s">
        <v>60</v>
      </c>
      <c r="I5" s="14" t="s">
        <v>62</v>
      </c>
      <c r="J5" s="14" t="s">
        <v>63</v>
      </c>
      <c r="K5" s="17" t="str">
        <f>IFERROR(__xludf.DUMMYFUNCTION("XLOOKUP(B5,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""-"")"),"praneeth.ad23@bitsathy.ac.in")</f>
        <v>praneeth.ad23@bitsathy.ac.in</v>
      </c>
      <c r="L5" s="21" t="str">
        <f>IFERROR(__xludf.DUMMYFUNCTION("XLOOKUP(B5,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""-"")"),"6379508939")</f>
        <v>6379508939</v>
      </c>
      <c r="M5" s="14" t="s">
        <v>71</v>
      </c>
      <c r="N5" s="14" t="s">
        <v>72</v>
      </c>
      <c r="O5" s="14" t="s">
        <v>74</v>
      </c>
      <c r="P5" s="21"/>
      <c r="Q5" s="21"/>
      <c r="R5" s="14" t="s">
        <v>75</v>
      </c>
      <c r="S5" s="21"/>
      <c r="T5" s="21"/>
      <c r="U5" s="21"/>
      <c r="V5" s="21"/>
      <c r="W5" s="21"/>
      <c r="X5" s="21"/>
      <c r="Y5" s="21"/>
      <c r="Z5" s="22"/>
      <c r="AA5" s="22"/>
      <c r="AB5" s="22"/>
      <c r="AC5" s="22"/>
      <c r="AD5" s="22"/>
    </row>
    <row r="6">
      <c r="A6" s="21">
        <v>5.0</v>
      </c>
      <c r="B6" s="15" t="s">
        <v>93</v>
      </c>
      <c r="C6" s="16" t="str">
        <f>IFERROR(__xludf.DUMMYFUNCTION("XLOOKUP(B6,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""-"")"),"PRANAOV NAATH S P")</f>
        <v>PRANAOV NAATH S P</v>
      </c>
      <c r="D6" s="17" t="str">
        <f>IFERROR(__xludf.DUMMYFUNCTION("XLOOKUP(B6,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""-"")"),"INFORMATION TECHNOLOGY")</f>
        <v>INFORMATION TECHNOLOGY</v>
      </c>
      <c r="E6" s="15" t="s">
        <v>58</v>
      </c>
      <c r="F6" s="14">
        <v>5.0</v>
      </c>
      <c r="G6" s="14" t="s">
        <v>59</v>
      </c>
      <c r="H6" s="14" t="s">
        <v>60</v>
      </c>
      <c r="I6" s="14" t="s">
        <v>62</v>
      </c>
      <c r="J6" s="14" t="s">
        <v>99</v>
      </c>
      <c r="K6" s="17" t="str">
        <f>IFERROR(__xludf.DUMMYFUNCTION("XLOOKUP(B6,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""-"")"),"pranaovnaath.it23@bitsathy.ac.in")</f>
        <v>pranaovnaath.it23@bitsathy.ac.in</v>
      </c>
      <c r="L6" s="21" t="str">
        <f>IFERROR(__xludf.DUMMYFUNCTION("XLOOKUP(B6,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""-"")"),"9865068750")</f>
        <v>9865068750</v>
      </c>
      <c r="M6" s="14" t="s">
        <v>71</v>
      </c>
      <c r="N6" s="14" t="s">
        <v>72</v>
      </c>
      <c r="O6" s="14" t="s">
        <v>74</v>
      </c>
      <c r="P6" s="21"/>
      <c r="Q6" s="21"/>
      <c r="R6" s="14" t="s">
        <v>75</v>
      </c>
      <c r="S6" s="21"/>
      <c r="T6" s="21"/>
      <c r="U6" s="21"/>
      <c r="V6" s="21"/>
      <c r="W6" s="21"/>
      <c r="X6" s="21"/>
      <c r="Y6" s="21"/>
      <c r="Z6" s="22"/>
      <c r="AA6" s="22"/>
      <c r="AB6" s="22"/>
      <c r="AC6" s="22"/>
      <c r="AD6" s="22"/>
    </row>
    <row r="7">
      <c r="A7" s="21">
        <v>6.0</v>
      </c>
      <c r="B7" s="15" t="s">
        <v>107</v>
      </c>
      <c r="C7" s="16" t="str">
        <f>IFERROR(__xludf.DUMMYFUNCTION("XLOOKUP(B7,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""-"")"),"KAVYA M")</f>
        <v>KAVYA M</v>
      </c>
      <c r="D7" s="17" t="str">
        <f>IFERROR(__xludf.DUMMYFUNCTION("XLOOKUP(B7,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""-"")"),"COMPUTER SCIENCE AND DESIGN")</f>
        <v>COMPUTER SCIENCE AND DESIGN</v>
      </c>
      <c r="E7" s="15" t="s">
        <v>58</v>
      </c>
      <c r="F7" s="14">
        <v>5.0</v>
      </c>
      <c r="G7" s="14" t="s">
        <v>59</v>
      </c>
      <c r="H7" s="14" t="s">
        <v>60</v>
      </c>
      <c r="I7" s="14" t="s">
        <v>62</v>
      </c>
      <c r="J7" s="14" t="s">
        <v>63</v>
      </c>
      <c r="K7" s="17" t="str">
        <f>IFERROR(__xludf.DUMMYFUNCTION("XLOOKUP(B7,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""-"")"),"kavya.cd23@bitsathy.ac.in")</f>
        <v>kavya.cd23@bitsathy.ac.in</v>
      </c>
      <c r="L7" s="21" t="str">
        <f>IFERROR(__xludf.DUMMYFUNCTION("XLOOKUP(B7,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""-"")"),"9344256024")</f>
        <v>9344256024</v>
      </c>
      <c r="M7" s="14" t="s">
        <v>71</v>
      </c>
      <c r="N7" s="14" t="s">
        <v>72</v>
      </c>
      <c r="O7" s="14" t="s">
        <v>74</v>
      </c>
      <c r="P7" s="21"/>
      <c r="Q7" s="21"/>
      <c r="R7" s="14" t="s">
        <v>75</v>
      </c>
      <c r="S7" s="21"/>
      <c r="T7" s="21"/>
      <c r="U7" s="21"/>
      <c r="V7" s="21"/>
      <c r="W7" s="21"/>
      <c r="X7" s="21"/>
      <c r="Y7" s="21"/>
      <c r="Z7" s="22"/>
      <c r="AA7" s="22"/>
      <c r="AB7" s="22"/>
      <c r="AC7" s="22"/>
      <c r="AD7" s="22"/>
    </row>
    <row r="8">
      <c r="A8" s="21">
        <v>7.0</v>
      </c>
      <c r="B8" s="29" t="s">
        <v>110</v>
      </c>
      <c r="C8" s="16" t="str">
        <f>IFERROR(__xludf.DUMMYFUNCTION("XLOOKUP(B8,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""-"")"),"SREENIDHI R")</f>
        <v>SREENIDHI R</v>
      </c>
      <c r="D8" s="17" t="str">
        <f>IFERROR(__xludf.DUMMYFUNCTION("XLOOKUP(B8,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""-"")"),"COMPUTER SCIENCE AND ENGINEERING")</f>
        <v>COMPUTER SCIENCE AND ENGINEERING</v>
      </c>
      <c r="E8" s="15" t="s">
        <v>58</v>
      </c>
      <c r="F8" s="14">
        <v>5.0</v>
      </c>
      <c r="G8" s="14" t="s">
        <v>59</v>
      </c>
      <c r="H8" s="14" t="s">
        <v>60</v>
      </c>
      <c r="I8" s="14" t="s">
        <v>62</v>
      </c>
      <c r="J8" s="14" t="s">
        <v>63</v>
      </c>
      <c r="K8" s="17" t="str">
        <f>IFERROR(__xludf.DUMMYFUNCTION("XLOOKUP(B8,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""-"")"),"sreenidhi.cs23@bitsathy.ac.in")</f>
        <v>sreenidhi.cs23@bitsathy.ac.in</v>
      </c>
      <c r="L8" s="21" t="str">
        <f>IFERROR(__xludf.DUMMYFUNCTION("XLOOKUP(B8,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""-"")"),"7904611901")</f>
        <v>7904611901</v>
      </c>
      <c r="M8" s="14" t="s">
        <v>71</v>
      </c>
      <c r="N8" s="14" t="s">
        <v>72</v>
      </c>
      <c r="O8" s="14" t="s">
        <v>74</v>
      </c>
      <c r="P8" s="21"/>
      <c r="Q8" s="21"/>
      <c r="R8" s="14" t="s">
        <v>75</v>
      </c>
      <c r="S8" s="21"/>
      <c r="T8" s="21"/>
      <c r="U8" s="21"/>
      <c r="V8" s="21"/>
      <c r="W8" s="21"/>
      <c r="X8" s="21"/>
      <c r="Y8" s="21"/>
      <c r="Z8" s="22"/>
      <c r="AA8" s="22"/>
      <c r="AB8" s="22"/>
      <c r="AC8" s="22"/>
      <c r="AD8" s="22"/>
    </row>
    <row r="9">
      <c r="A9" s="21">
        <v>8.0</v>
      </c>
      <c r="B9" s="29" t="s">
        <v>127</v>
      </c>
      <c r="C9" s="16" t="str">
        <f>IFERROR(__xludf.DUMMYFUNCTION("XLOOKUP(B9, IMPORTRANGE(""https://docs.google.com/spreadsheets/d/1UUC6R1hVFPCYDEbJMIXaIBW-jeQYiKTRixeKD_tUHGw/edit?gid=0#gid=0"", ""List!B:B""), IMPORTRANGE(""https://docs.google.com/spreadsheets/d/1UUC6R1hVFPCYDEbJMIXaIBW-jeQYiKTRixeKD_tUHGw/edit?gid=0#g"&amp;"id=0"", ""List!C:C""), ""-"")"),"GAYATHIRI E")</f>
        <v>GAYATHIRI E</v>
      </c>
      <c r="D9" s="17" t="str">
        <f>IFERROR(__xludf.DUMMYFUNCTION("XLOOKUP(B9, IMPORTRANGE(""https://docs.google.com/spreadsheets/d/1UUC6R1hVFPCYDEbJMIXaIBW-jeQYiKTRixeKD_tUHGw/edit?gid=0#gid=0"", ""List!B:B""), IMPORTRANGE(""https://docs.google.com/spreadsheets/d/1UUC6R1hVFPCYDEbJMIXaIBW-jeQYiKTRixeKD_tUHGw/edit?gid=0#g"&amp;"id=0"", ""List!D:D""), ""-"")"),"INFORMATION SCIENCE AND ENGINEERING")</f>
        <v>INFORMATION SCIENCE AND ENGINEERING</v>
      </c>
      <c r="E9" s="15" t="s">
        <v>132</v>
      </c>
      <c r="F9" s="14">
        <v>10.0</v>
      </c>
      <c r="G9" s="14" t="s">
        <v>59</v>
      </c>
      <c r="H9" s="14" t="s">
        <v>134</v>
      </c>
      <c r="I9" s="14" t="s">
        <v>136</v>
      </c>
      <c r="J9" s="14" t="s">
        <v>63</v>
      </c>
      <c r="K9" s="17" t="str">
        <f>IFERROR(__xludf.DUMMYFUNCTION("XLOOKUP(B9,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""List!E:E""), ""-"")"),"gayathiri.se23@bitsathy.ac.in")</f>
        <v>gayathiri.se23@bitsathy.ac.in</v>
      </c>
      <c r="L9" s="21" t="str">
        <f>IFERROR(__xludf.DUMMYFUNCTION("XLOOKUP(B9, IMPORTRANGE(""https://docs.google.com/spreadsheets/d/1GpX_8hJc54hBz8KrakqcWdiXAS6pjY1zWE_9fWBXnEM/edit?gid=1460649486#gid=1460649486"", ""List!B:B""), IMPORTRANGE(""https://docs.google.com/spreadsheets/d/1GpX_8hJc54hBz8KrakqcWdiXAS6pjY1zWE_9fW"&amp;"BXnEM/edit?gid=1460649486#gid=1460649486"", ""List!G:G""), ""-"")"),"6382761041")</f>
        <v>6382761041</v>
      </c>
      <c r="M9" s="14" t="s">
        <v>71</v>
      </c>
      <c r="N9" s="14" t="s">
        <v>138</v>
      </c>
      <c r="O9" s="21"/>
      <c r="P9" s="21"/>
      <c r="Q9" s="21"/>
      <c r="R9" s="14" t="s">
        <v>75</v>
      </c>
      <c r="S9" s="21"/>
      <c r="T9" s="21"/>
      <c r="U9" s="21"/>
      <c r="V9" s="21"/>
      <c r="W9" s="21"/>
      <c r="X9" s="21"/>
      <c r="Y9" s="21"/>
      <c r="Z9" s="22"/>
      <c r="AA9" s="22"/>
      <c r="AB9" s="22"/>
      <c r="AC9" s="22"/>
      <c r="AD9" s="22"/>
    </row>
    <row r="10">
      <c r="A10" s="21">
        <v>9.0</v>
      </c>
      <c r="B10" s="29" t="s">
        <v>141</v>
      </c>
      <c r="C10" s="16" t="str">
        <f>IFERROR(__xludf.DUMMYFUNCTION("XLOOKUP(B10,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""-"")"),"HARISHMITHA R")</f>
        <v>HARISHMITHA R</v>
      </c>
      <c r="D10" s="17" t="str">
        <f>IFERROR(__xludf.DUMMYFUNCTION("XLOOKUP(B10,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10" s="15" t="s">
        <v>132</v>
      </c>
      <c r="F10" s="14">
        <v>10.0</v>
      </c>
      <c r="G10" s="14" t="s">
        <v>59</v>
      </c>
      <c r="H10" s="14" t="s">
        <v>134</v>
      </c>
      <c r="I10" s="14" t="s">
        <v>136</v>
      </c>
      <c r="J10" s="14" t="s">
        <v>63</v>
      </c>
      <c r="K10" s="17" t="str">
        <f>IFERROR(__xludf.DUMMYFUNCTION("XLOOKUP(B10,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""-"")"),"harishmitha.ec23@bitsathy.ac.in")</f>
        <v>harishmitha.ec23@bitsathy.ac.in</v>
      </c>
      <c r="L10" s="21" t="str">
        <f>IFERROR(__xludf.DUMMYFUNCTION("XLOOKUP(B10,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""-"")"),"9345877323")</f>
        <v>9345877323</v>
      </c>
      <c r="M10" s="14" t="s">
        <v>71</v>
      </c>
      <c r="N10" s="14" t="s">
        <v>138</v>
      </c>
      <c r="O10" s="21"/>
      <c r="P10" s="21"/>
      <c r="Q10" s="21"/>
      <c r="R10" s="14" t="s">
        <v>75</v>
      </c>
      <c r="S10" s="21"/>
      <c r="T10" s="21"/>
      <c r="U10" s="21"/>
      <c r="V10" s="21"/>
      <c r="W10" s="21"/>
      <c r="X10" s="21"/>
      <c r="Y10" s="21"/>
      <c r="Z10" s="22"/>
      <c r="AA10" s="22"/>
      <c r="AB10" s="22"/>
      <c r="AC10" s="22"/>
      <c r="AD10" s="22"/>
    </row>
    <row r="11">
      <c r="A11" s="21">
        <v>10.0</v>
      </c>
      <c r="B11" s="29" t="s">
        <v>172</v>
      </c>
      <c r="C11" s="16" t="str">
        <f>IFERROR(__xludf.DUMMYFUNCTION("XLOOKUP(B11,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""-"")"),"DINESH S")</f>
        <v>DINESH S</v>
      </c>
      <c r="D11" s="17" t="str">
        <f>IFERROR(__xludf.DUMMYFUNCTION("XLOOKUP(B11,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11" s="15" t="s">
        <v>132</v>
      </c>
      <c r="F11" s="14">
        <v>10.0</v>
      </c>
      <c r="G11" s="14" t="s">
        <v>59</v>
      </c>
      <c r="H11" s="14" t="s">
        <v>134</v>
      </c>
      <c r="I11" s="14" t="s">
        <v>136</v>
      </c>
      <c r="J11" s="14" t="s">
        <v>63</v>
      </c>
      <c r="K11" s="17" t="str">
        <f>IFERROR(__xludf.DUMMYFUNCTION("XLOOKUP(B11,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""-"")"),"dinesh.ec23@bitsathy.ac.in")</f>
        <v>dinesh.ec23@bitsathy.ac.in</v>
      </c>
      <c r="L11" s="21" t="str">
        <f>IFERROR(__xludf.DUMMYFUNCTION("XLOOKUP(B11,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""-"")"),"8838289988")</f>
        <v>8838289988</v>
      </c>
      <c r="M11" s="14" t="s">
        <v>71</v>
      </c>
      <c r="N11" s="14" t="s">
        <v>138</v>
      </c>
      <c r="O11" s="21"/>
      <c r="P11" s="21"/>
      <c r="Q11" s="21"/>
      <c r="R11" s="14" t="s">
        <v>75</v>
      </c>
      <c r="S11" s="21"/>
      <c r="T11" s="21"/>
      <c r="U11" s="21"/>
      <c r="V11" s="21"/>
      <c r="W11" s="21"/>
      <c r="X11" s="21"/>
      <c r="Y11" s="21"/>
      <c r="Z11" s="22"/>
      <c r="AA11" s="22"/>
      <c r="AB11" s="22"/>
      <c r="AC11" s="22"/>
      <c r="AD11" s="22"/>
    </row>
    <row r="12">
      <c r="A12" s="21">
        <v>11.0</v>
      </c>
      <c r="B12" s="32" t="s">
        <v>173</v>
      </c>
      <c r="C12" s="16" t="str">
        <f>IFERROR(__xludf.DUMMYFUNCTION("XLOOKUP(B12,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""-"")"),"ADHAVAN SE V")</f>
        <v>ADHAVAN SE V</v>
      </c>
      <c r="D12" s="17" t="str">
        <f>IFERROR(__xludf.DUMMYFUNCTION("XLOOKUP(B12,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12" s="15" t="s">
        <v>132</v>
      </c>
      <c r="F12" s="14">
        <v>10.0</v>
      </c>
      <c r="G12" s="14" t="s">
        <v>59</v>
      </c>
      <c r="H12" s="14" t="s">
        <v>134</v>
      </c>
      <c r="I12" s="14" t="s">
        <v>136</v>
      </c>
      <c r="J12" s="14" t="s">
        <v>174</v>
      </c>
      <c r="K12" s="17" t="str">
        <f>IFERROR(__xludf.DUMMYFUNCTION("XLOOKUP(B12,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""-"")"),"adhavan.cs23@bitsathy.ac.in")</f>
        <v>adhavan.cs23@bitsathy.ac.in</v>
      </c>
      <c r="L12" s="21" t="str">
        <f>IFERROR(__xludf.DUMMYFUNCTION("XLOOKUP(B12,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""-"")"),"9486406279")</f>
        <v>9486406279</v>
      </c>
      <c r="M12" s="14" t="s">
        <v>71</v>
      </c>
      <c r="N12" s="14" t="s">
        <v>138</v>
      </c>
      <c r="O12" s="21"/>
      <c r="P12" s="21"/>
      <c r="Q12" s="21"/>
      <c r="R12" s="14" t="s">
        <v>75</v>
      </c>
      <c r="S12" s="21"/>
      <c r="T12" s="21"/>
      <c r="U12" s="21"/>
      <c r="V12" s="21"/>
      <c r="W12" s="21"/>
      <c r="X12" s="21"/>
      <c r="Y12" s="21"/>
      <c r="Z12" s="22"/>
      <c r="AA12" s="22"/>
      <c r="AB12" s="22"/>
      <c r="AC12" s="22"/>
      <c r="AD12" s="22"/>
    </row>
    <row r="13">
      <c r="A13" s="21">
        <v>12.0</v>
      </c>
      <c r="B13" s="29" t="s">
        <v>175</v>
      </c>
      <c r="C13" s="16" t="str">
        <f>IFERROR(__xludf.DUMMYFUNCTION("XLOOKUP(B13,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""-"")"),"SHARVESH RAMALINGAM")</f>
        <v>SHARVESH RAMALINGAM</v>
      </c>
      <c r="D13" s="17" t="str">
        <f>IFERROR(__xludf.DUMMYFUNCTION("XLOOKUP(B13,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13" s="15" t="s">
        <v>132</v>
      </c>
      <c r="F13" s="14">
        <v>10.0</v>
      </c>
      <c r="G13" s="14" t="s">
        <v>59</v>
      </c>
      <c r="H13" s="14" t="s">
        <v>134</v>
      </c>
      <c r="I13" s="14" t="s">
        <v>136</v>
      </c>
      <c r="J13" s="14" t="s">
        <v>63</v>
      </c>
      <c r="K13" s="17" t="str">
        <f>IFERROR(__xludf.DUMMYFUNCTION("XLOOKUP(B13,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""-"")"),"sharvesh.ad23@bitsathy.ac.in")</f>
        <v>sharvesh.ad23@bitsathy.ac.in</v>
      </c>
      <c r="L13" s="21" t="str">
        <f>IFERROR(__xludf.DUMMYFUNCTION("XLOOKUP(B13,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""-"")"),"9944872008")</f>
        <v>9944872008</v>
      </c>
      <c r="M13" s="14" t="s">
        <v>71</v>
      </c>
      <c r="N13" s="14" t="s">
        <v>138</v>
      </c>
      <c r="O13" s="21"/>
      <c r="P13" s="21"/>
      <c r="Q13" s="21"/>
      <c r="R13" s="14" t="s">
        <v>75</v>
      </c>
      <c r="S13" s="21"/>
      <c r="T13" s="21"/>
      <c r="U13" s="21"/>
      <c r="V13" s="21"/>
      <c r="W13" s="21"/>
      <c r="X13" s="21"/>
      <c r="Y13" s="21"/>
      <c r="Z13" s="22"/>
      <c r="AA13" s="22"/>
      <c r="AB13" s="22"/>
      <c r="AC13" s="22"/>
      <c r="AD13" s="22"/>
    </row>
    <row r="14">
      <c r="A14" s="21">
        <v>13.0</v>
      </c>
      <c r="B14" s="29" t="s">
        <v>178</v>
      </c>
      <c r="C14" s="16" t="str">
        <f>IFERROR(__xludf.DUMMYFUNCTION("XLOOKUP(B14,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""-"")"),"MOHAMMED AFEEF M")</f>
        <v>MOHAMMED AFEEF M</v>
      </c>
      <c r="D14" s="17" t="str">
        <f>IFERROR(__xludf.DUMMYFUNCTION("XLOOKUP(B14,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14" s="15" t="s">
        <v>132</v>
      </c>
      <c r="F14" s="14">
        <v>10.0</v>
      </c>
      <c r="G14" s="14" t="s">
        <v>59</v>
      </c>
      <c r="H14" s="14" t="s">
        <v>134</v>
      </c>
      <c r="I14" s="14" t="s">
        <v>136</v>
      </c>
      <c r="J14" s="14" t="s">
        <v>63</v>
      </c>
      <c r="K14" s="17" t="str">
        <f>IFERROR(__xludf.DUMMYFUNCTION("XLOOKUP(B14,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""-"")"),"mohammedafeef.ad23@bitsathy.ac.in")</f>
        <v>mohammedafeef.ad23@bitsathy.ac.in</v>
      </c>
      <c r="L14" s="21" t="str">
        <f>IFERROR(__xludf.DUMMYFUNCTION("XLOOKUP(B14,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""-"")"),"7339424994")</f>
        <v>7339424994</v>
      </c>
      <c r="M14" s="14" t="s">
        <v>71</v>
      </c>
      <c r="N14" s="14" t="s">
        <v>138</v>
      </c>
      <c r="O14" s="21"/>
      <c r="P14" s="21"/>
      <c r="Q14" s="21"/>
      <c r="R14" s="14" t="s">
        <v>75</v>
      </c>
      <c r="S14" s="21"/>
      <c r="T14" s="21"/>
      <c r="U14" s="21"/>
      <c r="V14" s="21"/>
      <c r="W14" s="21"/>
      <c r="X14" s="21"/>
      <c r="Y14" s="21"/>
      <c r="Z14" s="22"/>
      <c r="AA14" s="22"/>
      <c r="AB14" s="22"/>
      <c r="AC14" s="22"/>
      <c r="AD14" s="22"/>
    </row>
    <row r="15">
      <c r="A15" s="21">
        <v>14.0</v>
      </c>
      <c r="B15" s="29" t="s">
        <v>185</v>
      </c>
      <c r="C15" s="16" t="str">
        <f>IFERROR(__xludf.DUMMYFUNCTION("XLOOKUP(B15,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""-"")"),"KOUSIK A B")</f>
        <v>KOUSIK A B</v>
      </c>
      <c r="D15" s="17" t="str">
        <f>IFERROR(__xludf.DUMMYFUNCTION("XLOOKUP(B15,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15" s="15" t="s">
        <v>132</v>
      </c>
      <c r="F15" s="14">
        <v>10.0</v>
      </c>
      <c r="G15" s="14" t="s">
        <v>59</v>
      </c>
      <c r="H15" s="14" t="s">
        <v>134</v>
      </c>
      <c r="I15" s="14" t="s">
        <v>136</v>
      </c>
      <c r="J15" s="14" t="s">
        <v>63</v>
      </c>
      <c r="K15" s="17" t="str">
        <f>IFERROR(__xludf.DUMMYFUNCTION("XLOOKUP(B15,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""-"")"),"kousik.ec23@bitsathy.ac.in")</f>
        <v>kousik.ec23@bitsathy.ac.in</v>
      </c>
      <c r="L15" s="21" t="str">
        <f>IFERROR(__xludf.DUMMYFUNCTION("XLOOKUP(B15,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""-"")"),"8190077771")</f>
        <v>8190077771</v>
      </c>
      <c r="M15" s="14" t="s">
        <v>71</v>
      </c>
      <c r="N15" s="14" t="s">
        <v>138</v>
      </c>
      <c r="O15" s="21"/>
      <c r="P15" s="21"/>
      <c r="Q15" s="21"/>
      <c r="R15" s="14" t="s">
        <v>75</v>
      </c>
      <c r="S15" s="21"/>
      <c r="T15" s="21"/>
      <c r="U15" s="21"/>
      <c r="V15" s="21"/>
      <c r="W15" s="21"/>
      <c r="X15" s="21"/>
      <c r="Y15" s="21"/>
      <c r="Z15" s="22"/>
      <c r="AA15" s="22"/>
      <c r="AB15" s="22"/>
      <c r="AC15" s="22"/>
      <c r="AD15" s="22"/>
    </row>
    <row r="16">
      <c r="A16" s="21">
        <v>15.0</v>
      </c>
      <c r="B16" s="29" t="s">
        <v>193</v>
      </c>
      <c r="C16" s="16" t="str">
        <f>IFERROR(__xludf.DUMMYFUNCTION("XLOOKUP(B16,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""-"")"),"AATHINI S S")</f>
        <v>AATHINI S S</v>
      </c>
      <c r="D16" s="17" t="str">
        <f>IFERROR(__xludf.DUMMYFUNCTION("XLOOKUP(B16,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16" s="14" t="s">
        <v>145</v>
      </c>
      <c r="F16" s="14">
        <v>5.0</v>
      </c>
      <c r="G16" s="14" t="s">
        <v>59</v>
      </c>
      <c r="H16" s="14" t="s">
        <v>60</v>
      </c>
      <c r="I16" s="14" t="s">
        <v>62</v>
      </c>
      <c r="J16" s="14" t="s">
        <v>63</v>
      </c>
      <c r="K16" s="17" t="str">
        <f>IFERROR(__xludf.DUMMYFUNCTION("XLOOKUP(B16,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""-"")"),"aathini.ad23@bitsathy.ac.in")</f>
        <v>aathini.ad23@bitsathy.ac.in</v>
      </c>
      <c r="L16" s="21" t="str">
        <f>IFERROR(__xludf.DUMMYFUNCTION("XLOOKUP(B16,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""-"")"),"9345795447")</f>
        <v>9345795447</v>
      </c>
      <c r="M16" s="14" t="s">
        <v>71</v>
      </c>
      <c r="N16" s="14" t="s">
        <v>197</v>
      </c>
      <c r="O16" s="14" t="s">
        <v>199</v>
      </c>
      <c r="P16" s="21"/>
      <c r="Q16" s="21"/>
      <c r="R16" s="14" t="s">
        <v>75</v>
      </c>
      <c r="S16" s="21"/>
      <c r="T16" s="21"/>
      <c r="U16" s="21"/>
      <c r="V16" s="21"/>
      <c r="W16" s="21"/>
      <c r="X16" s="21"/>
      <c r="Y16" s="21"/>
      <c r="Z16" s="22"/>
      <c r="AA16" s="22"/>
      <c r="AB16" s="22"/>
      <c r="AC16" s="22"/>
      <c r="AD16" s="22"/>
    </row>
    <row r="17">
      <c r="A17" s="21">
        <v>16.0</v>
      </c>
      <c r="B17" s="29" t="s">
        <v>206</v>
      </c>
      <c r="C17" s="16" t="str">
        <f>IFERROR(__xludf.DUMMYFUNCTION("XLOOKUP(B17,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""-"")"),"JOGITHA R S")</f>
        <v>JOGITHA R S</v>
      </c>
      <c r="D17" s="17" t="str">
        <f>IFERROR(__xludf.DUMMYFUNCTION("XLOOKUP(B17,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17" s="14" t="s">
        <v>145</v>
      </c>
      <c r="F17" s="14">
        <v>5.0</v>
      </c>
      <c r="G17" s="14" t="s">
        <v>59</v>
      </c>
      <c r="H17" s="14" t="s">
        <v>60</v>
      </c>
      <c r="I17" s="14" t="s">
        <v>62</v>
      </c>
      <c r="J17" s="14" t="s">
        <v>63</v>
      </c>
      <c r="K17" s="17" t="str">
        <f>IFERROR(__xludf.DUMMYFUNCTION("XLOOKUP(B17,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""-"")"),"jogitha.ad23@bitsathy.ac.in")</f>
        <v>jogitha.ad23@bitsathy.ac.in</v>
      </c>
      <c r="L17" s="21" t="str">
        <f>IFERROR(__xludf.DUMMYFUNCTION("XLOOKUP(B17,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""-"")"),"6382440479")</f>
        <v>6382440479</v>
      </c>
      <c r="M17" s="14" t="s">
        <v>71</v>
      </c>
      <c r="N17" s="14" t="s">
        <v>197</v>
      </c>
      <c r="O17" s="14" t="s">
        <v>199</v>
      </c>
      <c r="P17" s="21"/>
      <c r="Q17" s="21"/>
      <c r="R17" s="14" t="s">
        <v>75</v>
      </c>
      <c r="S17" s="21"/>
      <c r="T17" s="21"/>
      <c r="U17" s="21"/>
      <c r="V17" s="21"/>
      <c r="W17" s="21"/>
      <c r="X17" s="21"/>
      <c r="Y17" s="21"/>
      <c r="Z17" s="22"/>
      <c r="AA17" s="22"/>
      <c r="AB17" s="22"/>
      <c r="AC17" s="22"/>
      <c r="AD17" s="22"/>
    </row>
    <row r="18">
      <c r="A18" s="21">
        <v>17.0</v>
      </c>
      <c r="B18" s="29" t="s">
        <v>207</v>
      </c>
      <c r="C18" s="16" t="str">
        <f>IFERROR(__xludf.DUMMYFUNCTION("XLOOKUP(B18,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""-"")"),"DEEKSHA M M")</f>
        <v>DEEKSHA M M</v>
      </c>
      <c r="D18" s="17" t="str">
        <f>IFERROR(__xludf.DUMMYFUNCTION("XLOOKUP(B18,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MACHINE LEARNING")</f>
        <v>ARTIFICIAL INTELLIGENCE AND MACHINE LEARNING</v>
      </c>
      <c r="E18" s="14" t="s">
        <v>145</v>
      </c>
      <c r="F18" s="14">
        <v>5.0</v>
      </c>
      <c r="G18" s="14" t="s">
        <v>59</v>
      </c>
      <c r="H18" s="14" t="s">
        <v>60</v>
      </c>
      <c r="I18" s="14" t="s">
        <v>62</v>
      </c>
      <c r="J18" s="14" t="s">
        <v>63</v>
      </c>
      <c r="K18" s="17" t="str">
        <f>IFERROR(__xludf.DUMMYFUNCTION("XLOOKUP(B18,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""-"")"),"deeksha.al23@bitsathy.ac.in")</f>
        <v>deeksha.al23@bitsathy.ac.in</v>
      </c>
      <c r="L18" s="21" t="str">
        <f>IFERROR(__xludf.DUMMYFUNCTION("XLOOKUP(B18,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""-"")"),"6374950166")</f>
        <v>6374950166</v>
      </c>
      <c r="M18" s="14" t="s">
        <v>71</v>
      </c>
      <c r="N18" s="14" t="s">
        <v>197</v>
      </c>
      <c r="O18" s="14" t="s">
        <v>199</v>
      </c>
      <c r="P18" s="21"/>
      <c r="Q18" s="21"/>
      <c r="R18" s="14" t="s">
        <v>75</v>
      </c>
      <c r="S18" s="21"/>
      <c r="T18" s="21"/>
      <c r="U18" s="21"/>
      <c r="V18" s="21"/>
      <c r="W18" s="21"/>
      <c r="X18" s="21"/>
      <c r="Y18" s="21"/>
      <c r="Z18" s="22"/>
      <c r="AA18" s="22"/>
      <c r="AB18" s="22"/>
      <c r="AC18" s="22"/>
      <c r="AD18" s="22"/>
    </row>
    <row r="19">
      <c r="A19" s="21">
        <v>18.0</v>
      </c>
      <c r="B19" s="29" t="s">
        <v>208</v>
      </c>
      <c r="C19" s="16" t="str">
        <f>IFERROR(__xludf.DUMMYFUNCTION("XLOOKUP(B19,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""-"")"),"KIRANYA S R")</f>
        <v>KIRANYA S R</v>
      </c>
      <c r="D19" s="17" t="str">
        <f>IFERROR(__xludf.DUMMYFUNCTION("XLOOKUP(B19,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MACHINE LEARNING")</f>
        <v>ARTIFICIAL INTELLIGENCE AND MACHINE LEARNING</v>
      </c>
      <c r="E19" s="14" t="s">
        <v>145</v>
      </c>
      <c r="F19" s="14">
        <v>5.0</v>
      </c>
      <c r="G19" s="14" t="s">
        <v>59</v>
      </c>
      <c r="H19" s="14" t="s">
        <v>60</v>
      </c>
      <c r="I19" s="14" t="s">
        <v>62</v>
      </c>
      <c r="J19" s="14" t="s">
        <v>63</v>
      </c>
      <c r="K19" s="17" t="str">
        <f>IFERROR(__xludf.DUMMYFUNCTION("XLOOKUP(B19,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""-"")"),"kiranya.al23@bitsathy.ac.in")</f>
        <v>kiranya.al23@bitsathy.ac.in</v>
      </c>
      <c r="L19" s="21" t="str">
        <f>IFERROR(__xludf.DUMMYFUNCTION("XLOOKUP(B19,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""-"")"),"9043405454")</f>
        <v>9043405454</v>
      </c>
      <c r="M19" s="14" t="s">
        <v>71</v>
      </c>
      <c r="N19" s="14" t="s">
        <v>197</v>
      </c>
      <c r="O19" s="14" t="s">
        <v>199</v>
      </c>
      <c r="P19" s="21"/>
      <c r="Q19" s="21"/>
      <c r="R19" s="14" t="s">
        <v>75</v>
      </c>
      <c r="S19" s="21"/>
      <c r="T19" s="21"/>
      <c r="U19" s="21"/>
      <c r="V19" s="21"/>
      <c r="W19" s="21"/>
      <c r="X19" s="21"/>
      <c r="Y19" s="21"/>
      <c r="Z19" s="22"/>
      <c r="AA19" s="22"/>
      <c r="AB19" s="22"/>
      <c r="AC19" s="22"/>
      <c r="AD19" s="22"/>
    </row>
    <row r="20">
      <c r="A20" s="21">
        <v>19.0</v>
      </c>
      <c r="B20" s="29" t="s">
        <v>209</v>
      </c>
      <c r="C20" s="16" t="str">
        <f>IFERROR(__xludf.DUMMYFUNCTION("XLOOKUP(B20,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""-"")"),"MAHITHAA SRI  S K")</f>
        <v>MAHITHAA SRI  S K</v>
      </c>
      <c r="D20" s="17" t="str">
        <f>IFERROR(__xludf.DUMMYFUNCTION("XLOOKUP(B20,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MACHINE LEARNING")</f>
        <v>ARTIFICIAL INTELLIGENCE AND MACHINE LEARNING</v>
      </c>
      <c r="E20" s="14" t="s">
        <v>145</v>
      </c>
      <c r="F20" s="14">
        <v>5.0</v>
      </c>
      <c r="G20" s="14" t="s">
        <v>59</v>
      </c>
      <c r="H20" s="14" t="s">
        <v>60</v>
      </c>
      <c r="I20" s="14" t="s">
        <v>62</v>
      </c>
      <c r="J20" s="14" t="s">
        <v>63</v>
      </c>
      <c r="K20" s="17" t="str">
        <f>IFERROR(__xludf.DUMMYFUNCTION("XLOOKUP(B20,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""-"")"),"mahithaasri.al23@bitsathy.ac.in")</f>
        <v>mahithaasri.al23@bitsathy.ac.in</v>
      </c>
      <c r="L20" s="21" t="str">
        <f>IFERROR(__xludf.DUMMYFUNCTION("XLOOKUP(B20,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""-"")"),"9444505595")</f>
        <v>9444505595</v>
      </c>
      <c r="M20" s="14" t="s">
        <v>71</v>
      </c>
      <c r="N20" s="14" t="s">
        <v>197</v>
      </c>
      <c r="O20" s="14" t="s">
        <v>199</v>
      </c>
      <c r="P20" s="21"/>
      <c r="Q20" s="21"/>
      <c r="R20" s="14" t="s">
        <v>75</v>
      </c>
      <c r="S20" s="21"/>
      <c r="T20" s="21"/>
      <c r="U20" s="21"/>
      <c r="V20" s="21"/>
      <c r="W20" s="21"/>
      <c r="X20" s="21"/>
      <c r="Y20" s="21"/>
      <c r="Z20" s="22"/>
      <c r="AA20" s="22"/>
      <c r="AB20" s="22"/>
      <c r="AC20" s="22"/>
      <c r="AD20" s="22"/>
    </row>
    <row r="21">
      <c r="A21" s="21">
        <v>20.0</v>
      </c>
      <c r="B21" s="29" t="s">
        <v>210</v>
      </c>
      <c r="C21" s="16" t="str">
        <f>IFERROR(__xludf.DUMMYFUNCTION("XLOOKUP(B21,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""-"")"),"NIDHARSANA  K S")</f>
        <v>NIDHARSANA  K S</v>
      </c>
      <c r="D21" s="17" t="str">
        <f>IFERROR(__xludf.DUMMYFUNCTION("XLOOKUP(B21,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MACHINE LEARNING")</f>
        <v>ARTIFICIAL INTELLIGENCE AND MACHINE LEARNING</v>
      </c>
      <c r="E21" s="14" t="s">
        <v>145</v>
      </c>
      <c r="F21" s="14">
        <v>5.0</v>
      </c>
      <c r="G21" s="14" t="s">
        <v>59</v>
      </c>
      <c r="H21" s="14" t="s">
        <v>60</v>
      </c>
      <c r="I21" s="14" t="s">
        <v>62</v>
      </c>
      <c r="J21" s="14" t="s">
        <v>63</v>
      </c>
      <c r="K21" s="17" t="str">
        <f>IFERROR(__xludf.DUMMYFUNCTION("XLOOKUP(B21,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""-"")"),"nidharsana.al23@bitsathy.ac.in")</f>
        <v>nidharsana.al23@bitsathy.ac.in</v>
      </c>
      <c r="L21" s="21" t="str">
        <f>IFERROR(__xludf.DUMMYFUNCTION("XLOOKUP(B21,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""-"")"),"8122744801")</f>
        <v>8122744801</v>
      </c>
      <c r="M21" s="14" t="s">
        <v>71</v>
      </c>
      <c r="N21" s="14" t="s">
        <v>197</v>
      </c>
      <c r="O21" s="14" t="s">
        <v>199</v>
      </c>
      <c r="P21" s="21"/>
      <c r="Q21" s="21"/>
      <c r="R21" s="14" t="s">
        <v>75</v>
      </c>
      <c r="S21" s="21"/>
      <c r="T21" s="21"/>
      <c r="U21" s="21"/>
      <c r="V21" s="21"/>
      <c r="W21" s="21"/>
      <c r="X21" s="21"/>
      <c r="Y21" s="21"/>
      <c r="Z21" s="22"/>
      <c r="AA21" s="22"/>
      <c r="AB21" s="22"/>
      <c r="AC21" s="22"/>
      <c r="AD21" s="22"/>
    </row>
    <row r="22">
      <c r="A22" s="21">
        <v>21.0</v>
      </c>
      <c r="B22" s="29" t="s">
        <v>211</v>
      </c>
      <c r="C22" s="16" t="str">
        <f>IFERROR(__xludf.DUMMYFUNCTION("XLOOKUP(B22,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""-"")"),"GOWRI SHANKAR P")</f>
        <v>GOWRI SHANKAR P</v>
      </c>
      <c r="D22" s="17" t="str">
        <f>IFERROR(__xludf.DUMMYFUNCTION("XLOOKUP(B22,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BUSINESS SYSTEMS")</f>
        <v>COMPUTER SCIENCE AND BUSINESS SYSTEMS</v>
      </c>
      <c r="E22" s="14" t="s">
        <v>145</v>
      </c>
      <c r="F22" s="14">
        <v>5.0</v>
      </c>
      <c r="G22" s="14" t="s">
        <v>59</v>
      </c>
      <c r="H22" s="14" t="s">
        <v>60</v>
      </c>
      <c r="I22" s="14" t="s">
        <v>62</v>
      </c>
      <c r="J22" s="14" t="s">
        <v>63</v>
      </c>
      <c r="K22" s="17" t="str">
        <f>IFERROR(__xludf.DUMMYFUNCTION("XLOOKUP(B22,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""-"")"),"gowrishankar.cb23@bitsathy.ac.in")</f>
        <v>gowrishankar.cb23@bitsathy.ac.in</v>
      </c>
      <c r="L22" s="21" t="str">
        <f>IFERROR(__xludf.DUMMYFUNCTION("XLOOKUP(B22,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""-"")"),"6383869580")</f>
        <v>6383869580</v>
      </c>
      <c r="M22" s="14" t="s">
        <v>71</v>
      </c>
      <c r="N22" s="14" t="s">
        <v>197</v>
      </c>
      <c r="O22" s="14" t="s">
        <v>199</v>
      </c>
      <c r="P22" s="21"/>
      <c r="Q22" s="21"/>
      <c r="R22" s="14" t="s">
        <v>75</v>
      </c>
      <c r="S22" s="21"/>
      <c r="T22" s="21"/>
      <c r="U22" s="21"/>
      <c r="V22" s="21"/>
      <c r="W22" s="21"/>
      <c r="X22" s="21"/>
      <c r="Y22" s="21"/>
      <c r="Z22" s="22"/>
      <c r="AA22" s="22"/>
      <c r="AB22" s="22"/>
      <c r="AC22" s="22"/>
      <c r="AD22" s="22"/>
    </row>
    <row r="23">
      <c r="A23" s="21">
        <v>22.0</v>
      </c>
      <c r="B23" s="29" t="s">
        <v>212</v>
      </c>
      <c r="C23" s="16" t="str">
        <f>IFERROR(__xludf.DUMMYFUNCTION("XLOOKUP(B23,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""-"")"),"THITHIKSAA  S K")</f>
        <v>THITHIKSAA  S K</v>
      </c>
      <c r="D23" s="17" t="str">
        <f>IFERROR(__xludf.DUMMYFUNCTION("XLOOKUP(B23,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23" s="14" t="s">
        <v>145</v>
      </c>
      <c r="F23" s="14">
        <v>5.0</v>
      </c>
      <c r="G23" s="14" t="s">
        <v>59</v>
      </c>
      <c r="H23" s="14" t="s">
        <v>60</v>
      </c>
      <c r="I23" s="14" t="s">
        <v>62</v>
      </c>
      <c r="J23" s="14" t="s">
        <v>63</v>
      </c>
      <c r="K23" s="17" t="str">
        <f>IFERROR(__xludf.DUMMYFUNCTION("XLOOKUP(B23,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""-"")"),"thithiksaa.it23@bitsathy.ac.in")</f>
        <v>thithiksaa.it23@bitsathy.ac.in</v>
      </c>
      <c r="L23" s="21" t="str">
        <f>IFERROR(__xludf.DUMMYFUNCTION("XLOOKUP(B23,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""-"")"),"9489431540")</f>
        <v>9489431540</v>
      </c>
      <c r="M23" s="14" t="s">
        <v>71</v>
      </c>
      <c r="N23" s="14" t="s">
        <v>197</v>
      </c>
      <c r="O23" s="14" t="s">
        <v>199</v>
      </c>
      <c r="P23" s="21"/>
      <c r="Q23" s="21"/>
      <c r="R23" s="14" t="s">
        <v>75</v>
      </c>
      <c r="S23" s="21"/>
      <c r="T23" s="21"/>
      <c r="U23" s="21"/>
      <c r="V23" s="21"/>
      <c r="W23" s="21"/>
      <c r="X23" s="21"/>
      <c r="Y23" s="21"/>
      <c r="Z23" s="22"/>
      <c r="AA23" s="22"/>
      <c r="AB23" s="22"/>
      <c r="AC23" s="22"/>
      <c r="AD23" s="22"/>
    </row>
    <row r="24">
      <c r="A24" s="21">
        <v>23.0</v>
      </c>
      <c r="B24" s="29" t="s">
        <v>213</v>
      </c>
      <c r="C24" s="16" t="str">
        <f>IFERROR(__xludf.DUMMYFUNCTION("XLOOKUP(B24,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""-"")"),"NITHIKAA M")</f>
        <v>NITHIKAA M</v>
      </c>
      <c r="D24" s="17" t="str">
        <f>IFERROR(__xludf.DUMMYFUNCTION("XLOOKUP(B24,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24" s="14" t="s">
        <v>145</v>
      </c>
      <c r="F24" s="14">
        <v>5.0</v>
      </c>
      <c r="G24" s="14" t="s">
        <v>59</v>
      </c>
      <c r="H24" s="14" t="s">
        <v>60</v>
      </c>
      <c r="I24" s="14" t="s">
        <v>62</v>
      </c>
      <c r="J24" s="14" t="s">
        <v>63</v>
      </c>
      <c r="K24" s="17" t="str">
        <f>IFERROR(__xludf.DUMMYFUNCTION("XLOOKUP(B24,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""-"")"),"nithikaa.cs23@bitsathy.ac.in")</f>
        <v>nithikaa.cs23@bitsathy.ac.in</v>
      </c>
      <c r="L24" s="21" t="str">
        <f>IFERROR(__xludf.DUMMYFUNCTION("XLOOKUP(B24,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""-"")"),"9025623528")</f>
        <v>9025623528</v>
      </c>
      <c r="M24" s="14" t="s">
        <v>71</v>
      </c>
      <c r="N24" s="14" t="s">
        <v>197</v>
      </c>
      <c r="O24" s="14" t="s">
        <v>199</v>
      </c>
      <c r="P24" s="21"/>
      <c r="Q24" s="21"/>
      <c r="R24" s="14" t="s">
        <v>75</v>
      </c>
      <c r="S24" s="21"/>
      <c r="T24" s="21"/>
      <c r="U24" s="21"/>
      <c r="V24" s="21"/>
      <c r="W24" s="21"/>
      <c r="X24" s="21"/>
      <c r="Y24" s="21"/>
      <c r="Z24" s="22"/>
      <c r="AA24" s="22"/>
      <c r="AB24" s="22"/>
      <c r="AC24" s="22"/>
      <c r="AD24" s="22"/>
    </row>
    <row r="25">
      <c r="A25" s="21">
        <v>24.0</v>
      </c>
      <c r="B25" s="29" t="s">
        <v>214</v>
      </c>
      <c r="C25" s="16" t="str">
        <f>IFERROR(__xludf.DUMMYFUNCTION("XLOOKUP(B25,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""-"")"),"SUWETHA V")</f>
        <v>SUWETHA V</v>
      </c>
      <c r="D25" s="17" t="str">
        <f>IFERROR(__xludf.DUMMYFUNCTION("XLOOKUP(B25,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25" s="14" t="s">
        <v>145</v>
      </c>
      <c r="F25" s="14">
        <v>5.0</v>
      </c>
      <c r="G25" s="14" t="s">
        <v>59</v>
      </c>
      <c r="H25" s="14" t="s">
        <v>60</v>
      </c>
      <c r="I25" s="14" t="s">
        <v>62</v>
      </c>
      <c r="J25" s="14" t="s">
        <v>63</v>
      </c>
      <c r="K25" s="17" t="str">
        <f>IFERROR(__xludf.DUMMYFUNCTION("XLOOKUP(B25,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""-"")"),"suwetha.cs23@bitsathy.ac.in")</f>
        <v>suwetha.cs23@bitsathy.ac.in</v>
      </c>
      <c r="L25" s="21" t="str">
        <f>IFERROR(__xludf.DUMMYFUNCTION("XLOOKUP(B25,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""-"")"),"9994770979")</f>
        <v>9994770979</v>
      </c>
      <c r="M25" s="14" t="s">
        <v>71</v>
      </c>
      <c r="N25" s="14" t="s">
        <v>197</v>
      </c>
      <c r="O25" s="14" t="s">
        <v>199</v>
      </c>
      <c r="P25" s="21"/>
      <c r="Q25" s="21"/>
      <c r="R25" s="14" t="s">
        <v>75</v>
      </c>
      <c r="S25" s="21"/>
      <c r="T25" s="21"/>
      <c r="U25" s="21"/>
      <c r="V25" s="21"/>
      <c r="W25" s="21"/>
      <c r="X25" s="21"/>
      <c r="Y25" s="21"/>
      <c r="Z25" s="22"/>
      <c r="AA25" s="22"/>
      <c r="AB25" s="22"/>
      <c r="AC25" s="22"/>
      <c r="AD25" s="22"/>
    </row>
    <row r="26">
      <c r="A26" s="21">
        <v>25.0</v>
      </c>
      <c r="B26" s="29" t="s">
        <v>215</v>
      </c>
      <c r="C26" s="16" t="str">
        <f>IFERROR(__xludf.DUMMYFUNCTION("XLOOKUP(B26,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""-"")"),"AHMED ABU HURAIRAH M H")</f>
        <v>AHMED ABU HURAIRAH M H</v>
      </c>
      <c r="D26" s="17" t="str">
        <f>IFERROR(__xludf.DUMMYFUNCTION("XLOOKUP(B26,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26" s="14" t="s">
        <v>145</v>
      </c>
      <c r="F26" s="14">
        <v>5.0</v>
      </c>
      <c r="G26" s="14" t="s">
        <v>59</v>
      </c>
      <c r="H26" s="14" t="s">
        <v>60</v>
      </c>
      <c r="I26" s="14" t="s">
        <v>62</v>
      </c>
      <c r="J26" s="14" t="s">
        <v>63</v>
      </c>
      <c r="K26" s="17" t="str">
        <f>IFERROR(__xludf.DUMMYFUNCTION("XLOOKUP(B26,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""-"")"),"ahmedabuhurairah.ec23@bitsathy.ac.in")</f>
        <v>ahmedabuhurairah.ec23@bitsathy.ac.in</v>
      </c>
      <c r="L26" s="21" t="str">
        <f>IFERROR(__xludf.DUMMYFUNCTION("XLOOKUP(B26,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""-"")"),"7010719460")</f>
        <v>7010719460</v>
      </c>
      <c r="M26" s="14" t="s">
        <v>71</v>
      </c>
      <c r="N26" s="14" t="s">
        <v>197</v>
      </c>
      <c r="O26" s="14" t="s">
        <v>199</v>
      </c>
      <c r="P26" s="21"/>
      <c r="Q26" s="21"/>
      <c r="R26" s="14" t="s">
        <v>75</v>
      </c>
      <c r="S26" s="21"/>
      <c r="T26" s="21"/>
      <c r="U26" s="21"/>
      <c r="V26" s="21"/>
      <c r="W26" s="21"/>
      <c r="X26" s="21"/>
      <c r="Y26" s="21"/>
      <c r="Z26" s="22"/>
      <c r="AA26" s="22"/>
      <c r="AB26" s="22"/>
      <c r="AC26" s="22"/>
      <c r="AD26" s="22"/>
    </row>
    <row r="27">
      <c r="A27" s="21">
        <v>26.0</v>
      </c>
      <c r="B27" s="29" t="s">
        <v>216</v>
      </c>
      <c r="C27" s="16" t="str">
        <f>IFERROR(__xludf.DUMMYFUNCTION("XLOOKUP(B27,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""-"")"),"MOHITH  M")</f>
        <v>MOHITH  M</v>
      </c>
      <c r="D27" s="17" t="str">
        <f>IFERROR(__xludf.DUMMYFUNCTION("XLOOKUP(B27,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27" s="14" t="s">
        <v>145</v>
      </c>
      <c r="F27" s="14">
        <v>5.0</v>
      </c>
      <c r="G27" s="14" t="s">
        <v>59</v>
      </c>
      <c r="H27" s="14" t="s">
        <v>60</v>
      </c>
      <c r="I27" s="14" t="s">
        <v>62</v>
      </c>
      <c r="J27" s="14" t="s">
        <v>63</v>
      </c>
      <c r="K27" s="17" t="str">
        <f>IFERROR(__xludf.DUMMYFUNCTION("XLOOKUP(B27,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""-"")"),"mohith.it23@bitsathy.ac.in")</f>
        <v>mohith.it23@bitsathy.ac.in</v>
      </c>
      <c r="L27" s="21" t="str">
        <f>IFERROR(__xludf.DUMMYFUNCTION("XLOOKUP(B27,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""-"")"),"9025646624")</f>
        <v>9025646624</v>
      </c>
      <c r="M27" s="14" t="s">
        <v>71</v>
      </c>
      <c r="N27" s="14" t="s">
        <v>197</v>
      </c>
      <c r="O27" s="14" t="s">
        <v>199</v>
      </c>
      <c r="P27" s="21"/>
      <c r="Q27" s="21"/>
      <c r="R27" s="14" t="s">
        <v>75</v>
      </c>
      <c r="S27" s="21"/>
      <c r="T27" s="21"/>
      <c r="U27" s="21"/>
      <c r="V27" s="21"/>
      <c r="W27" s="21"/>
      <c r="X27" s="21"/>
      <c r="Y27" s="21"/>
      <c r="Z27" s="22"/>
      <c r="AA27" s="22"/>
      <c r="AB27" s="22"/>
      <c r="AC27" s="22"/>
      <c r="AD27" s="22"/>
    </row>
    <row r="28">
      <c r="A28" s="21">
        <v>27.0</v>
      </c>
      <c r="B28" s="29" t="s">
        <v>217</v>
      </c>
      <c r="C28" s="16" t="str">
        <f>IFERROR(__xludf.DUMMYFUNCTION("XLOOKUP(B28,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""-"")"),"VINITHA P")</f>
        <v>VINITHA P</v>
      </c>
      <c r="D28" s="17" t="str">
        <f>IFERROR(__xludf.DUMMYFUNCTION("XLOOKUP(B28,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28" s="14" t="s">
        <v>145</v>
      </c>
      <c r="F28" s="14">
        <v>5.0</v>
      </c>
      <c r="G28" s="14" t="s">
        <v>59</v>
      </c>
      <c r="H28" s="14" t="s">
        <v>60</v>
      </c>
      <c r="I28" s="14" t="s">
        <v>62</v>
      </c>
      <c r="J28" s="14" t="s">
        <v>218</v>
      </c>
      <c r="K28" s="17" t="str">
        <f>IFERROR(__xludf.DUMMYFUNCTION("XLOOKUP(B28,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""-"")"),"vinitha.cs23@bitsathy.ac.in")</f>
        <v>vinitha.cs23@bitsathy.ac.in</v>
      </c>
      <c r="L28" s="21" t="str">
        <f>IFERROR(__xludf.DUMMYFUNCTION("XLOOKUP(B28,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""-"")"),"8610203559")</f>
        <v>8610203559</v>
      </c>
      <c r="M28" s="14" t="s">
        <v>71</v>
      </c>
      <c r="N28" s="14" t="s">
        <v>197</v>
      </c>
      <c r="O28" s="14" t="s">
        <v>199</v>
      </c>
      <c r="P28" s="21"/>
      <c r="Q28" s="21"/>
      <c r="R28" s="14" t="s">
        <v>75</v>
      </c>
      <c r="S28" s="21"/>
      <c r="T28" s="21"/>
      <c r="U28" s="21"/>
      <c r="V28" s="21"/>
      <c r="W28" s="21"/>
      <c r="X28" s="21"/>
      <c r="Y28" s="21"/>
      <c r="Z28" s="22"/>
      <c r="AA28" s="22"/>
      <c r="AB28" s="22"/>
      <c r="AC28" s="22"/>
      <c r="AD28" s="22"/>
    </row>
    <row r="29">
      <c r="A29" s="21">
        <v>28.0</v>
      </c>
      <c r="B29" s="15" t="s">
        <v>219</v>
      </c>
      <c r="C29" s="16" t="str">
        <f>IFERROR(__xludf.DUMMYFUNCTION("XLOOKUP(B29,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""-"")"),"VIJAY KRISHNAA P")</f>
        <v>VIJAY KRISHNAA P</v>
      </c>
      <c r="D29" s="17" t="str">
        <f>IFERROR(__xludf.DUMMYFUNCTION("XLOOKUP(B29,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29" s="33" t="s">
        <v>160</v>
      </c>
      <c r="F29" s="14">
        <v>6.0</v>
      </c>
      <c r="G29" s="14" t="s">
        <v>59</v>
      </c>
      <c r="H29" s="14"/>
      <c r="I29" s="14" t="s">
        <v>62</v>
      </c>
      <c r="J29" s="14" t="s">
        <v>63</v>
      </c>
      <c r="K29" s="17" t="str">
        <f>IFERROR(__xludf.DUMMYFUNCTION("XLOOKUP(B29,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""-"")"),"vijaykrishnaa.cs23@bitsathy.ac.in")</f>
        <v>vijaykrishnaa.cs23@bitsathy.ac.in</v>
      </c>
      <c r="L29" s="21" t="str">
        <f>IFERROR(__xludf.DUMMYFUNCTION("XLOOKUP(B29,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""-"")"),"9025287330")</f>
        <v>9025287330</v>
      </c>
      <c r="M29" s="14" t="s">
        <v>71</v>
      </c>
      <c r="N29" s="14" t="s">
        <v>220</v>
      </c>
      <c r="O29" s="14" t="s">
        <v>221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22"/>
      <c r="AA29" s="22"/>
      <c r="AB29" s="22"/>
      <c r="AC29" s="22"/>
      <c r="AD29" s="22"/>
    </row>
    <row r="30">
      <c r="A30" s="21">
        <v>29.0</v>
      </c>
      <c r="B30" s="15" t="s">
        <v>222</v>
      </c>
      <c r="C30" s="16" t="str">
        <f>IFERROR(__xludf.DUMMYFUNCTION("XLOOKUP(B30,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""-"")"),"DAKSHATA R")</f>
        <v>DAKSHATA R</v>
      </c>
      <c r="D30" s="17" t="str">
        <f>IFERROR(__xludf.DUMMYFUNCTION("XLOOKUP(B30,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30" s="33" t="s">
        <v>114</v>
      </c>
      <c r="F30" s="14">
        <v>5.0</v>
      </c>
      <c r="G30" s="14" t="s">
        <v>59</v>
      </c>
      <c r="H30" s="14"/>
      <c r="I30" s="14" t="s">
        <v>62</v>
      </c>
      <c r="J30" s="14" t="s">
        <v>63</v>
      </c>
      <c r="K30" s="17" t="str">
        <f>IFERROR(__xludf.DUMMYFUNCTION("XLOOKUP(B30,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""-"")"),"dakshata.cs23@bitsathy.ac.in")</f>
        <v>dakshata.cs23@bitsathy.ac.in</v>
      </c>
      <c r="L30" s="21" t="str">
        <f>IFERROR(__xludf.DUMMYFUNCTION("XLOOKUP(B30,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""-"")"),"8344831834")</f>
        <v>8344831834</v>
      </c>
      <c r="M30" s="14" t="s">
        <v>71</v>
      </c>
      <c r="N30" s="14" t="s">
        <v>220</v>
      </c>
      <c r="O30" s="14" t="s">
        <v>221</v>
      </c>
      <c r="P30" s="34"/>
      <c r="Q30" s="34"/>
      <c r="R30" s="34"/>
      <c r="S30" s="34"/>
      <c r="T30" s="34"/>
      <c r="U30" s="34"/>
      <c r="V30" s="35" t="s">
        <v>223</v>
      </c>
      <c r="W30" s="36"/>
      <c r="X30" s="36"/>
      <c r="Y30" s="36"/>
      <c r="Z30" s="22"/>
      <c r="AA30" s="22"/>
      <c r="AB30" s="22"/>
      <c r="AC30" s="22"/>
      <c r="AD30" s="22"/>
    </row>
    <row r="31">
      <c r="A31" s="21">
        <v>30.0</v>
      </c>
      <c r="B31" s="15" t="s">
        <v>224</v>
      </c>
      <c r="C31" s="16" t="str">
        <f>IFERROR(__xludf.DUMMYFUNCTION("XLOOKUP(B31,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""-"")"),"KEERTHANA K")</f>
        <v>KEERTHANA K</v>
      </c>
      <c r="D31" s="17" t="str">
        <f>IFERROR(__xludf.DUMMYFUNCTION("XLOOKUP(B31,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31" s="37" t="s">
        <v>186</v>
      </c>
      <c r="F31" s="14">
        <v>3.0</v>
      </c>
      <c r="G31" s="14" t="s">
        <v>59</v>
      </c>
      <c r="H31" s="14" t="s">
        <v>60</v>
      </c>
      <c r="I31" s="14" t="s">
        <v>136</v>
      </c>
      <c r="J31" s="14" t="s">
        <v>63</v>
      </c>
      <c r="K31" s="17" t="str">
        <f>IFERROR(__xludf.DUMMYFUNCTION("XLOOKUP(B31,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""-"")"),"keerthana.ft23@bitsathy.ac.in")</f>
        <v>keerthana.ft23@bitsathy.ac.in</v>
      </c>
      <c r="L31" s="21" t="str">
        <f>IFERROR(__xludf.DUMMYFUNCTION("XLOOKUP(B31,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""-"")"),"9025686243")</f>
        <v>9025686243</v>
      </c>
      <c r="M31" s="14" t="s">
        <v>71</v>
      </c>
      <c r="N31" s="14" t="s">
        <v>225</v>
      </c>
      <c r="O31" s="14" t="s">
        <v>226</v>
      </c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22"/>
      <c r="AA31" s="22"/>
      <c r="AB31" s="22"/>
      <c r="AC31" s="22"/>
      <c r="AD31" s="22"/>
    </row>
    <row r="32">
      <c r="A32" s="21">
        <v>31.0</v>
      </c>
      <c r="B32" s="15" t="s">
        <v>227</v>
      </c>
      <c r="C32" s="16" t="str">
        <f>IFERROR(__xludf.DUMMYFUNCTION("XLOOKUP(B32,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""-"")"),"MANISHA A")</f>
        <v>MANISHA A</v>
      </c>
      <c r="D32" s="17" t="str">
        <f>IFERROR(__xludf.DUMMYFUNCTION("XLOOKUP(B32,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32" s="37" t="s">
        <v>186</v>
      </c>
      <c r="F32" s="14">
        <v>3.0</v>
      </c>
      <c r="G32" s="14" t="s">
        <v>59</v>
      </c>
      <c r="H32" s="14" t="s">
        <v>60</v>
      </c>
      <c r="I32" s="14" t="s">
        <v>136</v>
      </c>
      <c r="J32" s="14" t="s">
        <v>63</v>
      </c>
      <c r="K32" s="17" t="str">
        <f>IFERROR(__xludf.DUMMYFUNCTION("XLOOKUP(B32,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""-"")"),"manisha.ft23@bitsathy.ac.in")</f>
        <v>manisha.ft23@bitsathy.ac.in</v>
      </c>
      <c r="L32" s="21" t="str">
        <f>IFERROR(__xludf.DUMMYFUNCTION("XLOOKUP(B32,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""-"")"),"7200616146")</f>
        <v>7200616146</v>
      </c>
      <c r="M32" s="14" t="s">
        <v>71</v>
      </c>
      <c r="N32" s="14" t="s">
        <v>225</v>
      </c>
      <c r="O32" s="14" t="s">
        <v>226</v>
      </c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22"/>
      <c r="AA32" s="22"/>
      <c r="AB32" s="22"/>
      <c r="AC32" s="22"/>
      <c r="AD32" s="22"/>
    </row>
    <row r="33">
      <c r="A33" s="21">
        <v>32.0</v>
      </c>
      <c r="B33" s="15" t="s">
        <v>228</v>
      </c>
      <c r="C33" s="16" t="str">
        <f>IFERROR(__xludf.DUMMYFUNCTION("XLOOKUP(B33,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""-"")"),"SARVIKA M K")</f>
        <v>SARVIKA M K</v>
      </c>
      <c r="D33" s="17" t="str">
        <f>IFERROR(__xludf.DUMMYFUNCTION("XLOOKUP(B33,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33" s="37" t="s">
        <v>186</v>
      </c>
      <c r="F33" s="14">
        <v>3.0</v>
      </c>
      <c r="G33" s="14" t="s">
        <v>59</v>
      </c>
      <c r="H33" s="14" t="s">
        <v>60</v>
      </c>
      <c r="I33" s="14" t="s">
        <v>136</v>
      </c>
      <c r="J33" s="14" t="s">
        <v>63</v>
      </c>
      <c r="K33" s="17" t="str">
        <f>IFERROR(__xludf.DUMMYFUNCTION("XLOOKUP(B33,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""-"")"),"sarvika.ft23@bitsathy.ac.in")</f>
        <v>sarvika.ft23@bitsathy.ac.in</v>
      </c>
      <c r="L33" s="21" t="str">
        <f>IFERROR(__xludf.DUMMYFUNCTION("XLOOKUP(B33,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""-"")"),"9344517848")</f>
        <v>9344517848</v>
      </c>
      <c r="M33" s="14" t="s">
        <v>71</v>
      </c>
      <c r="N33" s="14" t="s">
        <v>225</v>
      </c>
      <c r="O33" s="14" t="s">
        <v>226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22"/>
      <c r="AA33" s="22"/>
      <c r="AB33" s="22"/>
      <c r="AC33" s="22"/>
      <c r="AD33" s="22"/>
    </row>
    <row r="34">
      <c r="A34" s="21">
        <v>33.0</v>
      </c>
      <c r="B34" s="15" t="s">
        <v>229</v>
      </c>
      <c r="C34" s="16" t="str">
        <f>IFERROR(__xludf.DUMMYFUNCTION("XLOOKUP(B34,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""-"")"),"SHREENITHI K G")</f>
        <v>SHREENITHI K G</v>
      </c>
      <c r="D34" s="17" t="str">
        <f>IFERROR(__xludf.DUMMYFUNCTION("XLOOKUP(B34,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34" s="37" t="s">
        <v>186</v>
      </c>
      <c r="F34" s="14">
        <v>3.0</v>
      </c>
      <c r="G34" s="14" t="s">
        <v>59</v>
      </c>
      <c r="H34" s="14" t="s">
        <v>60</v>
      </c>
      <c r="I34" s="14" t="s">
        <v>136</v>
      </c>
      <c r="J34" s="14" t="s">
        <v>63</v>
      </c>
      <c r="K34" s="17" t="str">
        <f>IFERROR(__xludf.DUMMYFUNCTION("XLOOKUP(B34,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""-"")"),"shreenithi.ft23@bitsathy.ac.in")</f>
        <v>shreenithi.ft23@bitsathy.ac.in</v>
      </c>
      <c r="L34" s="21" t="str">
        <f>IFERROR(__xludf.DUMMYFUNCTION("XLOOKUP(B34,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""-"")"),"9842884989")</f>
        <v>9842884989</v>
      </c>
      <c r="M34" s="14" t="s">
        <v>71</v>
      </c>
      <c r="N34" s="14" t="s">
        <v>225</v>
      </c>
      <c r="O34" s="14" t="s">
        <v>226</v>
      </c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22"/>
      <c r="AA34" s="22"/>
      <c r="AB34" s="22"/>
      <c r="AC34" s="22"/>
      <c r="AD34" s="22"/>
    </row>
    <row r="35">
      <c r="A35" s="21">
        <v>34.0</v>
      </c>
      <c r="B35" s="15" t="s">
        <v>230</v>
      </c>
      <c r="C35" s="16" t="str">
        <f>IFERROR(__xludf.DUMMYFUNCTION("XLOOKUP(B35,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""-"")"),"SIVA GANGA S")</f>
        <v>SIVA GANGA S</v>
      </c>
      <c r="D35" s="17" t="str">
        <f>IFERROR(__xludf.DUMMYFUNCTION("XLOOKUP(B35,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35" s="37" t="s">
        <v>186</v>
      </c>
      <c r="F35" s="14">
        <v>3.0</v>
      </c>
      <c r="G35" s="14" t="s">
        <v>59</v>
      </c>
      <c r="H35" s="14" t="s">
        <v>60</v>
      </c>
      <c r="I35" s="14" t="s">
        <v>136</v>
      </c>
      <c r="J35" s="14" t="s">
        <v>63</v>
      </c>
      <c r="K35" s="17" t="str">
        <f>IFERROR(__xludf.DUMMYFUNCTION("XLOOKUP(B35,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""-"")"),"sivaganga.ft23@bitsathy.ac.in")</f>
        <v>sivaganga.ft23@bitsathy.ac.in</v>
      </c>
      <c r="L35" s="21" t="str">
        <f>IFERROR(__xludf.DUMMYFUNCTION("XLOOKUP(B35,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""-"")"),"9697576633")</f>
        <v>9697576633</v>
      </c>
      <c r="M35" s="14" t="s">
        <v>71</v>
      </c>
      <c r="N35" s="14" t="s">
        <v>225</v>
      </c>
      <c r="O35" s="14" t="s">
        <v>226</v>
      </c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22"/>
      <c r="AA35" s="22"/>
      <c r="AB35" s="22"/>
      <c r="AC35" s="22"/>
      <c r="AD35" s="22"/>
    </row>
    <row r="36">
      <c r="A36" s="21">
        <v>35.0</v>
      </c>
      <c r="B36" s="15" t="s">
        <v>231</v>
      </c>
      <c r="C36" s="16" t="str">
        <f>IFERROR(__xludf.DUMMYFUNCTION("XLOOKUP(B36,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""-"")"),"ANBU SELVAM S")</f>
        <v>ANBU SELVAM S</v>
      </c>
      <c r="D36" s="17" t="str">
        <f>IFERROR(__xludf.DUMMYFUNCTION("XLOOKUP(B36,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36" s="37" t="s">
        <v>106</v>
      </c>
      <c r="F36" s="14">
        <v>6.0</v>
      </c>
      <c r="G36" s="14" t="s">
        <v>59</v>
      </c>
      <c r="H36" s="14" t="s">
        <v>60</v>
      </c>
      <c r="I36" s="14" t="s">
        <v>62</v>
      </c>
      <c r="J36" s="14" t="s">
        <v>99</v>
      </c>
      <c r="K36" s="17" t="str">
        <f>IFERROR(__xludf.DUMMYFUNCTION("XLOOKUP(B36,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""-"")"),"anbuselvam.cs23@bitsathy.ac.in")</f>
        <v>anbuselvam.cs23@bitsathy.ac.in</v>
      </c>
      <c r="L36" s="21" t="str">
        <f>IFERROR(__xludf.DUMMYFUNCTION("XLOOKUP(B36,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""-"")"),"8122969582")</f>
        <v>8122969582</v>
      </c>
      <c r="M36" s="14" t="s">
        <v>71</v>
      </c>
      <c r="N36" s="14" t="s">
        <v>232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22"/>
      <c r="AA36" s="22"/>
      <c r="AB36" s="22"/>
      <c r="AC36" s="22"/>
      <c r="AD36" s="22"/>
    </row>
    <row r="37">
      <c r="A37" s="21">
        <v>36.0</v>
      </c>
      <c r="B37" s="29" t="s">
        <v>233</v>
      </c>
      <c r="C37" s="16" t="str">
        <f>IFERROR(__xludf.DUMMYFUNCTION("XLOOKUP(B37,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""-"")"),"DARSANI T S")</f>
        <v>DARSANI T S</v>
      </c>
      <c r="D37" s="17" t="str">
        <f>IFERROR(__xludf.DUMMYFUNCTION("XLOOKUP(B37,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37" s="37" t="s">
        <v>106</v>
      </c>
      <c r="F37" s="14">
        <v>6.0</v>
      </c>
      <c r="G37" s="14" t="s">
        <v>59</v>
      </c>
      <c r="H37" s="14" t="s">
        <v>60</v>
      </c>
      <c r="I37" s="14" t="s">
        <v>62</v>
      </c>
      <c r="J37" s="14" t="s">
        <v>99</v>
      </c>
      <c r="K37" s="17" t="str">
        <f>IFERROR(__xludf.DUMMYFUNCTION("XLOOKUP(B37,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""-"")"),"darsani.ec23@bitsathy.ac.in")</f>
        <v>darsani.ec23@bitsathy.ac.in</v>
      </c>
      <c r="L37" s="21" t="str">
        <f>IFERROR(__xludf.DUMMYFUNCTION("XLOOKUP(B37,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""-"")"),"8072964586")</f>
        <v>8072964586</v>
      </c>
      <c r="M37" s="14" t="s">
        <v>71</v>
      </c>
      <c r="N37" s="14" t="s">
        <v>232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22"/>
      <c r="AA37" s="22"/>
      <c r="AB37" s="22"/>
      <c r="AC37" s="22"/>
      <c r="AD37" s="22"/>
    </row>
    <row r="38">
      <c r="A38" s="21">
        <v>37.0</v>
      </c>
      <c r="B38" s="29" t="s">
        <v>234</v>
      </c>
      <c r="C38" s="16" t="str">
        <f>IFERROR(__xludf.DUMMYFUNCTION("XLOOKUP(B38,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""-"")"),"DEEPAK GANESAMURTHI SUSEELA")</f>
        <v>DEEPAK GANESAMURTHI SUSEELA</v>
      </c>
      <c r="D38" s="17" t="str">
        <f>IFERROR(__xludf.DUMMYFUNCTION("XLOOKUP(B38,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38" s="37" t="s">
        <v>106</v>
      </c>
      <c r="F38" s="14">
        <v>6.0</v>
      </c>
      <c r="G38" s="14" t="s">
        <v>59</v>
      </c>
      <c r="H38" s="14" t="s">
        <v>60</v>
      </c>
      <c r="I38" s="14" t="s">
        <v>62</v>
      </c>
      <c r="J38" s="14" t="s">
        <v>99</v>
      </c>
      <c r="K38" s="17" t="str">
        <f>IFERROR(__xludf.DUMMYFUNCTION("XLOOKUP(B38,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""-"")"),"deepak.cs23@bitsathy.ac.in")</f>
        <v>deepak.cs23@bitsathy.ac.in</v>
      </c>
      <c r="L38" s="21" t="str">
        <f>IFERROR(__xludf.DUMMYFUNCTION("XLOOKUP(B38,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""-"")"),"9080458494")</f>
        <v>9080458494</v>
      </c>
      <c r="M38" s="14" t="s">
        <v>71</v>
      </c>
      <c r="N38" s="14" t="s">
        <v>232</v>
      </c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22"/>
      <c r="AA38" s="22"/>
      <c r="AB38" s="22"/>
      <c r="AC38" s="22"/>
      <c r="AD38" s="22"/>
    </row>
    <row r="39">
      <c r="A39" s="21">
        <v>38.0</v>
      </c>
      <c r="B39" s="29" t="s">
        <v>235</v>
      </c>
      <c r="C39" s="16" t="str">
        <f>IFERROR(__xludf.DUMMYFUNCTION("XLOOKUP(B39,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""-"")"),"DHANU SHRI V")</f>
        <v>DHANU SHRI V</v>
      </c>
      <c r="D39" s="17" t="str">
        <f>IFERROR(__xludf.DUMMYFUNCTION("XLOOKUP(B39,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39" s="37" t="s">
        <v>106</v>
      </c>
      <c r="F39" s="14">
        <v>6.0</v>
      </c>
      <c r="G39" s="14" t="s">
        <v>59</v>
      </c>
      <c r="H39" s="14" t="s">
        <v>60</v>
      </c>
      <c r="I39" s="14" t="s">
        <v>62</v>
      </c>
      <c r="J39" s="14" t="s">
        <v>99</v>
      </c>
      <c r="K39" s="17" t="str">
        <f>IFERROR(__xludf.DUMMYFUNCTION("XLOOKUP(B39,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""-"")"),"dhanushri.ec23@bitsathy.ac.in")</f>
        <v>dhanushri.ec23@bitsathy.ac.in</v>
      </c>
      <c r="L39" s="21" t="str">
        <f>IFERROR(__xludf.DUMMYFUNCTION("XLOOKUP(B39,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""-"")"),"6374129588")</f>
        <v>6374129588</v>
      </c>
      <c r="M39" s="14" t="s">
        <v>71</v>
      </c>
      <c r="N39" s="14" t="s">
        <v>232</v>
      </c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22"/>
      <c r="AA39" s="22"/>
      <c r="AB39" s="22"/>
      <c r="AC39" s="22"/>
      <c r="AD39" s="22"/>
    </row>
    <row r="40">
      <c r="A40" s="21">
        <v>39.0</v>
      </c>
      <c r="B40" s="29" t="s">
        <v>236</v>
      </c>
      <c r="C40" s="16" t="str">
        <f>IFERROR(__xludf.DUMMYFUNCTION("XLOOKUP(B40,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""-"")"),"DHARINEESH  V")</f>
        <v>DHARINEESH  V</v>
      </c>
      <c r="D40" s="17" t="str">
        <f>IFERROR(__xludf.DUMMYFUNCTION("XLOOKUP(B40,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TECHNOLOGY")</f>
        <v>COMPUTER TECHNOLOGY</v>
      </c>
      <c r="E40" s="37" t="s">
        <v>106</v>
      </c>
      <c r="F40" s="14">
        <v>6.0</v>
      </c>
      <c r="G40" s="14" t="s">
        <v>59</v>
      </c>
      <c r="H40" s="14" t="s">
        <v>60</v>
      </c>
      <c r="I40" s="14" t="s">
        <v>62</v>
      </c>
      <c r="J40" s="14" t="s">
        <v>99</v>
      </c>
      <c r="K40" s="17" t="str">
        <f>IFERROR(__xludf.DUMMYFUNCTION("XLOOKUP(B40,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""-"")"),"dharineesh.ct23@bitsathy.ac.in")</f>
        <v>dharineesh.ct23@bitsathy.ac.in</v>
      </c>
      <c r="L40" s="21" t="str">
        <f>IFERROR(__xludf.DUMMYFUNCTION("XLOOKUP(B40,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""-"")"),"9715020320")</f>
        <v>9715020320</v>
      </c>
      <c r="M40" s="14" t="s">
        <v>71</v>
      </c>
      <c r="N40" s="14" t="s">
        <v>232</v>
      </c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22"/>
      <c r="AA40" s="22"/>
      <c r="AB40" s="22"/>
      <c r="AC40" s="22"/>
      <c r="AD40" s="22"/>
    </row>
    <row r="41">
      <c r="A41" s="21">
        <v>40.0</v>
      </c>
      <c r="B41" s="29" t="s">
        <v>237</v>
      </c>
      <c r="C41" s="16" t="str">
        <f>IFERROR(__xludf.DUMMYFUNCTION("XLOOKUP(B41,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""-"")"),"NATISH G")</f>
        <v>NATISH G</v>
      </c>
      <c r="D41" s="17" t="str">
        <f>IFERROR(__xludf.DUMMYFUNCTION("XLOOKUP(B41,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41" s="37" t="s">
        <v>106</v>
      </c>
      <c r="F41" s="14">
        <v>6.0</v>
      </c>
      <c r="G41" s="14" t="s">
        <v>59</v>
      </c>
      <c r="H41" s="14" t="s">
        <v>60</v>
      </c>
      <c r="I41" s="14" t="s">
        <v>62</v>
      </c>
      <c r="J41" s="14" t="s">
        <v>99</v>
      </c>
      <c r="K41" s="17" t="str">
        <f>IFERROR(__xludf.DUMMYFUNCTION("XLOOKUP(B41,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""-"")"),"natishg.cs23@bitsathy.ac.in")</f>
        <v>natishg.cs23@bitsathy.ac.in</v>
      </c>
      <c r="L41" s="21" t="str">
        <f>IFERROR(__xludf.DUMMYFUNCTION("XLOOKUP(B41,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""-"")"),"9080691947")</f>
        <v>9080691947</v>
      </c>
      <c r="M41" s="14" t="s">
        <v>71</v>
      </c>
      <c r="N41" s="14" t="s">
        <v>232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22"/>
      <c r="AA41" s="22"/>
      <c r="AB41" s="22"/>
      <c r="AC41" s="22"/>
      <c r="AD41" s="22"/>
    </row>
    <row r="42">
      <c r="A42" s="21">
        <v>41.0</v>
      </c>
      <c r="B42" s="29" t="s">
        <v>238</v>
      </c>
      <c r="C42" s="16" t="str">
        <f>IFERROR(__xludf.DUMMYFUNCTION("XLOOKUP(B42,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""-"")"),"INBASHREE B")</f>
        <v>INBASHREE B</v>
      </c>
      <c r="D42" s="17" t="str">
        <f>IFERROR(__xludf.DUMMYFUNCTION("XLOOKUP(B42,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""-"")"),"FASHION TECHNOLOGY")</f>
        <v>FASHION TECHNOLOGY</v>
      </c>
      <c r="E42" s="37" t="s">
        <v>239</v>
      </c>
      <c r="F42" s="14">
        <v>3.0</v>
      </c>
      <c r="G42" s="14" t="s">
        <v>59</v>
      </c>
      <c r="H42" s="14"/>
      <c r="I42" s="14" t="s">
        <v>136</v>
      </c>
      <c r="J42" s="14" t="s">
        <v>63</v>
      </c>
      <c r="K42" s="17" t="str">
        <f>IFERROR(__xludf.DUMMYFUNCTION("XLOOKUP(B42,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""-"")"),"inbashreeb.ft23@bitsathy.ac.in")</f>
        <v>inbashreeb.ft23@bitsathy.ac.in</v>
      </c>
      <c r="L42" s="21" t="str">
        <f>IFERROR(__xludf.DUMMYFUNCTION("XLOOKUP(B42,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""-"")"),"9943772906")</f>
        <v>9943772906</v>
      </c>
      <c r="M42" s="14" t="s">
        <v>240</v>
      </c>
      <c r="N42" s="14" t="s">
        <v>241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22"/>
      <c r="AA42" s="22"/>
      <c r="AB42" s="22"/>
      <c r="AC42" s="22"/>
      <c r="AD42" s="22"/>
    </row>
    <row r="43">
      <c r="A43" s="21">
        <v>42.0</v>
      </c>
      <c r="B43" s="29" t="s">
        <v>242</v>
      </c>
      <c r="C43" s="16" t="str">
        <f>IFERROR(__xludf.DUMMYFUNCTION("XLOOKUP(B43,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""-"")"),"PRASANNA KUMAR S")</f>
        <v>PRASANNA KUMAR S</v>
      </c>
      <c r="D43" s="17" t="str">
        <f>IFERROR(__xludf.DUMMYFUNCTION("XLOOKUP(B43,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INSTRUMENTATION ENGINEERING")</f>
        <v>ELECTRONICS AND INSTRUMENTATION ENGINEERING</v>
      </c>
      <c r="E43" s="37" t="s">
        <v>143</v>
      </c>
      <c r="F43" s="14">
        <v>4.25</v>
      </c>
      <c r="G43" s="14" t="s">
        <v>59</v>
      </c>
      <c r="H43" s="14"/>
      <c r="I43" s="14" t="s">
        <v>136</v>
      </c>
      <c r="J43" s="14" t="s">
        <v>63</v>
      </c>
      <c r="K43" s="17" t="str">
        <f>IFERROR(__xludf.DUMMYFUNCTION("XLOOKUP(B43,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""-"")"),"prasannakumars.ei23@bitsathy.ac.in")</f>
        <v>prasannakumars.ei23@bitsathy.ac.in</v>
      </c>
      <c r="L43" s="21" t="str">
        <f>IFERROR(__xludf.DUMMYFUNCTION("XLOOKUP(B43,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""-"")"),"9042418426")</f>
        <v>9042418426</v>
      </c>
      <c r="M43" s="14" t="s">
        <v>240</v>
      </c>
      <c r="N43" s="14" t="s">
        <v>243</v>
      </c>
      <c r="O43" s="34"/>
      <c r="P43" s="34"/>
      <c r="Q43" s="34"/>
      <c r="R43" s="34"/>
      <c r="S43" s="34"/>
      <c r="T43" s="34"/>
      <c r="U43" s="34"/>
      <c r="V43" s="34"/>
      <c r="W43" s="36"/>
      <c r="X43" s="34"/>
      <c r="Y43" s="35" t="s">
        <v>244</v>
      </c>
      <c r="Z43" s="22"/>
      <c r="AA43" s="22"/>
      <c r="AB43" s="22"/>
      <c r="AC43" s="22"/>
      <c r="AD43" s="22"/>
    </row>
    <row r="44">
      <c r="A44" s="21">
        <v>43.0</v>
      </c>
      <c r="B44" s="29" t="s">
        <v>245</v>
      </c>
      <c r="C44" s="16" t="str">
        <f>IFERROR(__xludf.DUMMYFUNCTION("XLOOKUP(B44,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""-"")"),"YASHWENTH RAJ G")</f>
        <v>YASHWENTH RAJ G</v>
      </c>
      <c r="D44" s="17" t="str">
        <f>IFERROR(__xludf.DUMMYFUNCTION("XLOOKUP(B44,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44" s="37" t="s">
        <v>143</v>
      </c>
      <c r="F44" s="14">
        <v>4.25</v>
      </c>
      <c r="G44" s="14" t="s">
        <v>59</v>
      </c>
      <c r="H44" s="14"/>
      <c r="I44" s="14" t="s">
        <v>136</v>
      </c>
      <c r="J44" s="14" t="s">
        <v>63</v>
      </c>
      <c r="K44" s="17" t="str">
        <f>IFERROR(__xludf.DUMMYFUNCTION("XLOOKUP(B44,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""-"")"),"yashwenthrajg.ec23@bitsathy.ac.in")</f>
        <v>yashwenthrajg.ec23@bitsathy.ac.in</v>
      </c>
      <c r="L44" s="21" t="str">
        <f>IFERROR(__xludf.DUMMYFUNCTION("XLOOKUP(B44,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""-"")"),"7417959990")</f>
        <v>7417959990</v>
      </c>
      <c r="M44" s="14" t="s">
        <v>240</v>
      </c>
      <c r="N44" s="14" t="s">
        <v>243</v>
      </c>
      <c r="O44" s="34"/>
      <c r="P44" s="34"/>
      <c r="Q44" s="34"/>
      <c r="R44" s="34"/>
      <c r="S44" s="34"/>
      <c r="T44" s="34"/>
      <c r="U44" s="34"/>
      <c r="V44" s="34"/>
      <c r="W44" s="36"/>
      <c r="X44" s="34"/>
      <c r="Y44" s="35" t="s">
        <v>246</v>
      </c>
      <c r="Z44" s="22"/>
      <c r="AA44" s="22"/>
      <c r="AB44" s="22"/>
      <c r="AC44" s="22"/>
      <c r="AD44" s="22"/>
    </row>
    <row r="45">
      <c r="A45" s="21">
        <v>44.0</v>
      </c>
      <c r="B45" s="29" t="s">
        <v>247</v>
      </c>
      <c r="C45" s="16" t="str">
        <f>IFERROR(__xludf.DUMMYFUNCTION("XLOOKUP(B45,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""-"")"),"PRAVEEN  S")</f>
        <v>PRAVEEN  S</v>
      </c>
      <c r="D45" s="17" t="str">
        <f>IFERROR(__xludf.DUMMYFUNCTION("XLOOKUP(B45,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""-"")"),"MECHATRONICS ENGINEERING")</f>
        <v>MECHATRONICS ENGINEERING</v>
      </c>
      <c r="E45" s="37" t="s">
        <v>143</v>
      </c>
      <c r="F45" s="14">
        <v>4.25</v>
      </c>
      <c r="G45" s="14" t="s">
        <v>59</v>
      </c>
      <c r="H45" s="14"/>
      <c r="I45" s="14" t="s">
        <v>136</v>
      </c>
      <c r="J45" s="14" t="s">
        <v>63</v>
      </c>
      <c r="K45" s="17" t="str">
        <f>IFERROR(__xludf.DUMMYFUNCTION("XLOOKUP(B45,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""-"")"),"praveens.mz23@bitsathy.ac.in")</f>
        <v>praveens.mz23@bitsathy.ac.in</v>
      </c>
      <c r="L45" s="21" t="str">
        <f>IFERROR(__xludf.DUMMYFUNCTION("XLOOKUP(B45,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""-"")"),"6380049144")</f>
        <v>6380049144</v>
      </c>
      <c r="M45" s="14" t="s">
        <v>240</v>
      </c>
      <c r="N45" s="14" t="s">
        <v>243</v>
      </c>
      <c r="O45" s="34"/>
      <c r="P45" s="34"/>
      <c r="Q45" s="34"/>
      <c r="R45" s="34"/>
      <c r="S45" s="34"/>
      <c r="T45" s="34"/>
      <c r="U45" s="34"/>
      <c r="V45" s="34"/>
      <c r="W45" s="36"/>
      <c r="X45" s="34"/>
      <c r="Y45" s="35" t="s">
        <v>248</v>
      </c>
      <c r="Z45" s="22"/>
      <c r="AA45" s="22"/>
      <c r="AB45" s="22"/>
      <c r="AC45" s="22"/>
      <c r="AD45" s="22"/>
    </row>
    <row r="46">
      <c r="A46" s="21">
        <v>45.0</v>
      </c>
      <c r="B46" s="29" t="s">
        <v>249</v>
      </c>
      <c r="C46" s="16" t="str">
        <f>IFERROR(__xludf.DUMMYFUNCTION("XLOOKUP(B46,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""-"")"),"GOWTHAM T")</f>
        <v>GOWTHAM T</v>
      </c>
      <c r="D46" s="17" t="str">
        <f>IFERROR(__xludf.DUMMYFUNCTION("XLOOKUP(B46,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""-"")"),"ELECTRICAL AND ELECTRONICS ENGINEERING")</f>
        <v>ELECTRICAL AND ELECTRONICS ENGINEERING</v>
      </c>
      <c r="E46" s="37" t="s">
        <v>143</v>
      </c>
      <c r="F46" s="14">
        <v>4.25</v>
      </c>
      <c r="G46" s="14" t="s">
        <v>59</v>
      </c>
      <c r="H46" s="14"/>
      <c r="I46" s="14" t="s">
        <v>136</v>
      </c>
      <c r="J46" s="14" t="s">
        <v>63</v>
      </c>
      <c r="K46" s="17" t="str">
        <f>IFERROR(__xludf.DUMMYFUNCTION("XLOOKUP(B46,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""-"")"),"gowtham.ee23@bitsathy.ac.in")</f>
        <v>gowtham.ee23@bitsathy.ac.in</v>
      </c>
      <c r="L46" s="21" t="str">
        <f>IFERROR(__xludf.DUMMYFUNCTION("XLOOKUP(B46,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""-"")"),"9042416640")</f>
        <v>9042416640</v>
      </c>
      <c r="M46" s="14" t="s">
        <v>240</v>
      </c>
      <c r="N46" s="14" t="s">
        <v>243</v>
      </c>
      <c r="O46" s="34"/>
      <c r="P46" s="34"/>
      <c r="Q46" s="34"/>
      <c r="R46" s="34"/>
      <c r="S46" s="34"/>
      <c r="T46" s="34"/>
      <c r="U46" s="34"/>
      <c r="V46" s="34"/>
      <c r="W46" s="36"/>
      <c r="X46" s="34"/>
      <c r="Y46" s="35" t="s">
        <v>250</v>
      </c>
      <c r="Z46" s="22"/>
      <c r="AA46" s="22"/>
      <c r="AB46" s="22"/>
      <c r="AC46" s="22"/>
      <c r="AD46" s="22"/>
    </row>
    <row r="47">
      <c r="A47" s="21">
        <v>46.0</v>
      </c>
      <c r="B47" s="29" t="s">
        <v>251</v>
      </c>
      <c r="C47" s="16" t="str">
        <f>IFERROR(__xludf.DUMMYFUNCTION("XLOOKUP(B47,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""-"")"),"LUCKSHANA VR")</f>
        <v>LUCKSHANA VR</v>
      </c>
      <c r="D47" s="17" t="str">
        <f>IFERROR(__xludf.DUMMYFUNCTION("XLOOKUP(B47,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47" s="37" t="s">
        <v>143</v>
      </c>
      <c r="F47" s="14">
        <v>4.25</v>
      </c>
      <c r="G47" s="14" t="s">
        <v>252</v>
      </c>
      <c r="H47" s="14"/>
      <c r="I47" s="14" t="s">
        <v>136</v>
      </c>
      <c r="J47" s="14" t="s">
        <v>99</v>
      </c>
      <c r="K47" s="17" t="str">
        <f>IFERROR(__xludf.DUMMYFUNCTION("XLOOKUP(B47,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""-"")"),"luckshana.ec23@bitsathy.ac.in")</f>
        <v>luckshana.ec23@bitsathy.ac.in</v>
      </c>
      <c r="L47" s="21" t="str">
        <f>IFERROR(__xludf.DUMMYFUNCTION("XLOOKUP(B47,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""-"")"),"9345655774")</f>
        <v>9345655774</v>
      </c>
      <c r="M47" s="14" t="s">
        <v>240</v>
      </c>
      <c r="N47" s="14" t="s">
        <v>243</v>
      </c>
      <c r="O47" s="34"/>
      <c r="P47" s="34"/>
      <c r="Q47" s="34"/>
      <c r="R47" s="34"/>
      <c r="S47" s="34"/>
      <c r="T47" s="34"/>
      <c r="U47" s="34"/>
      <c r="V47" s="34"/>
      <c r="W47" s="36"/>
      <c r="X47" s="34"/>
      <c r="Y47" s="35" t="s">
        <v>253</v>
      </c>
      <c r="Z47" s="22"/>
      <c r="AA47" s="22"/>
      <c r="AB47" s="22"/>
      <c r="AC47" s="22"/>
      <c r="AD47" s="22"/>
    </row>
    <row r="48">
      <c r="A48" s="21">
        <v>47.0</v>
      </c>
      <c r="B48" s="38" t="s">
        <v>254</v>
      </c>
      <c r="C48" s="16" t="str">
        <f>IFERROR(__xludf.DUMMYFUNCTION("XLOOKUP(B48,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""-"")"),"DIWAKAR R M")</f>
        <v>DIWAKAR R M</v>
      </c>
      <c r="D48" s="17" t="str">
        <f>IFERROR(__xludf.DUMMYFUNCTION("XLOOKUP(B48,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48" s="39" t="s">
        <v>91</v>
      </c>
      <c r="F48" s="14">
        <v>7.0</v>
      </c>
      <c r="G48" s="14" t="s">
        <v>59</v>
      </c>
      <c r="H48" s="14"/>
      <c r="I48" s="14" t="s">
        <v>62</v>
      </c>
      <c r="J48" s="14" t="s">
        <v>63</v>
      </c>
      <c r="K48" s="17" t="str">
        <f>IFERROR(__xludf.DUMMYFUNCTION("XLOOKUP(B48,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""-"")"),"diwakar.ad23@bitsathy.ac.in")</f>
        <v>diwakar.ad23@bitsathy.ac.in</v>
      </c>
      <c r="L48" s="21" t="str">
        <f>IFERROR(__xludf.DUMMYFUNCTION("XLOOKUP(B48,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""-"")"),"8778015698")</f>
        <v>8778015698</v>
      </c>
      <c r="M48" s="14" t="s">
        <v>71</v>
      </c>
      <c r="N48" s="14" t="s">
        <v>255</v>
      </c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22"/>
      <c r="AA48" s="22"/>
      <c r="AB48" s="22"/>
      <c r="AC48" s="22"/>
      <c r="AD48" s="22"/>
    </row>
    <row r="49">
      <c r="A49" s="21">
        <v>48.0</v>
      </c>
      <c r="B49" s="38" t="s">
        <v>256</v>
      </c>
      <c r="C49" s="16" t="str">
        <f>IFERROR(__xludf.DUMMYFUNCTION("XLOOKUP(B49,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""-"")"),"MIDHUN K")</f>
        <v>MIDHUN K</v>
      </c>
      <c r="D49" s="17" t="str">
        <f>IFERROR(__xludf.DUMMYFUNCTION("XLOOKUP(B49,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49" s="39" t="s">
        <v>91</v>
      </c>
      <c r="F49" s="14">
        <v>7.0</v>
      </c>
      <c r="G49" s="14" t="s">
        <v>59</v>
      </c>
      <c r="H49" s="14"/>
      <c r="I49" s="14" t="s">
        <v>62</v>
      </c>
      <c r="J49" s="14" t="s">
        <v>63</v>
      </c>
      <c r="K49" s="17" t="str">
        <f>IFERROR(__xludf.DUMMYFUNCTION("XLOOKUP(B49,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""-"")"),"midhun.cs23@bitsathy.ac.in")</f>
        <v>midhun.cs23@bitsathy.ac.in</v>
      </c>
      <c r="L49" s="21" t="str">
        <f>IFERROR(__xludf.DUMMYFUNCTION("XLOOKUP(B49,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""-"")"),"8903988183")</f>
        <v>8903988183</v>
      </c>
      <c r="M49" s="14" t="s">
        <v>71</v>
      </c>
      <c r="N49" s="14" t="s">
        <v>255</v>
      </c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22"/>
      <c r="AA49" s="22"/>
      <c r="AB49" s="22"/>
      <c r="AC49" s="22"/>
      <c r="AD49" s="22"/>
    </row>
    <row r="50">
      <c r="A50" s="21">
        <v>49.0</v>
      </c>
      <c r="B50" s="38" t="s">
        <v>257</v>
      </c>
      <c r="C50" s="16" t="str">
        <f>IFERROR(__xludf.DUMMYFUNCTION("XLOOKUP(B50,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""-"")"),"RAGHUL S")</f>
        <v>RAGHUL S</v>
      </c>
      <c r="D50" s="17" t="str">
        <f>IFERROR(__xludf.DUMMYFUNCTION("XLOOKUP(B50,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50" s="39" t="s">
        <v>91</v>
      </c>
      <c r="F50" s="14">
        <v>7.0</v>
      </c>
      <c r="G50" s="14" t="s">
        <v>59</v>
      </c>
      <c r="H50" s="14"/>
      <c r="I50" s="14" t="s">
        <v>62</v>
      </c>
      <c r="J50" s="14" t="s">
        <v>63</v>
      </c>
      <c r="K50" s="17" t="str">
        <f>IFERROR(__xludf.DUMMYFUNCTION("XLOOKUP(B50,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""-"")"),"raghul.ad23@bitsathy.ac.in")</f>
        <v>raghul.ad23@bitsathy.ac.in</v>
      </c>
      <c r="L50" s="21" t="str">
        <f>IFERROR(__xludf.DUMMYFUNCTION("XLOOKUP(B50,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""-"")"),"9842025003")</f>
        <v>9842025003</v>
      </c>
      <c r="M50" s="14" t="s">
        <v>71</v>
      </c>
      <c r="N50" s="14" t="s">
        <v>255</v>
      </c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22"/>
      <c r="AA50" s="22"/>
      <c r="AB50" s="22"/>
      <c r="AC50" s="22"/>
      <c r="AD50" s="22"/>
    </row>
    <row r="51">
      <c r="A51" s="21">
        <v>50.0</v>
      </c>
      <c r="B51" s="38" t="s">
        <v>258</v>
      </c>
      <c r="C51" s="16" t="str">
        <f>IFERROR(__xludf.DUMMYFUNCTION("XLOOKUP(B51,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""-"")"),"PRASANNA B")</f>
        <v>PRASANNA B</v>
      </c>
      <c r="D51" s="17" t="str">
        <f>IFERROR(__xludf.DUMMYFUNCTION("XLOOKUP(B51,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51" s="39" t="s">
        <v>91</v>
      </c>
      <c r="F51" s="14">
        <v>7.0</v>
      </c>
      <c r="G51" s="14" t="s">
        <v>59</v>
      </c>
      <c r="H51" s="14"/>
      <c r="I51" s="14" t="s">
        <v>62</v>
      </c>
      <c r="J51" s="14" t="s">
        <v>63</v>
      </c>
      <c r="K51" s="17" t="str">
        <f>IFERROR(__xludf.DUMMYFUNCTION("XLOOKUP(B51,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""-"")"),"prasanna.it23@bitsathy.ac.in")</f>
        <v>prasanna.it23@bitsathy.ac.in</v>
      </c>
      <c r="L51" s="21" t="str">
        <f>IFERROR(__xludf.DUMMYFUNCTION("XLOOKUP(B51,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""-"")"),"7904896686")</f>
        <v>7904896686</v>
      </c>
      <c r="M51" s="14" t="s">
        <v>71</v>
      </c>
      <c r="N51" s="14" t="s">
        <v>255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22"/>
      <c r="AA51" s="22"/>
      <c r="AB51" s="22"/>
      <c r="AC51" s="22"/>
      <c r="AD51" s="22"/>
    </row>
    <row r="52">
      <c r="A52" s="21">
        <v>51.0</v>
      </c>
      <c r="B52" s="38" t="s">
        <v>259</v>
      </c>
      <c r="C52" s="16" t="str">
        <f>IFERROR(__xludf.DUMMYFUNCTION("XLOOKUP(B52,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""-"")"),"MAGESH KANNAN K")</f>
        <v>MAGESH KANNAN K</v>
      </c>
      <c r="D52" s="17" t="str">
        <f>IFERROR(__xludf.DUMMYFUNCTION("XLOOKUP(B52,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52" s="39" t="s">
        <v>91</v>
      </c>
      <c r="F52" s="14">
        <v>7.0</v>
      </c>
      <c r="G52" s="14" t="s">
        <v>59</v>
      </c>
      <c r="H52" s="14"/>
      <c r="I52" s="14" t="s">
        <v>62</v>
      </c>
      <c r="J52" s="14" t="s">
        <v>63</v>
      </c>
      <c r="K52" s="17" t="str">
        <f>IFERROR(__xludf.DUMMYFUNCTION("XLOOKUP(B52,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""-"")"),"mageshkannan.ad23@bitsathy.ac.in")</f>
        <v>mageshkannan.ad23@bitsathy.ac.in</v>
      </c>
      <c r="L52" s="21" t="str">
        <f>IFERROR(__xludf.DUMMYFUNCTION("XLOOKUP(B52,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""-"")"),"6380769369")</f>
        <v>6380769369</v>
      </c>
      <c r="M52" s="14" t="s">
        <v>71</v>
      </c>
      <c r="N52" s="14" t="s">
        <v>255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22"/>
      <c r="AA52" s="22"/>
      <c r="AB52" s="22"/>
      <c r="AC52" s="22"/>
      <c r="AD52" s="22"/>
    </row>
    <row r="53">
      <c r="A53" s="21">
        <v>52.0</v>
      </c>
      <c r="B53" s="38" t="s">
        <v>260</v>
      </c>
      <c r="C53" s="16" t="str">
        <f>IFERROR(__xludf.DUMMYFUNCTION("XLOOKUP(B53,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""-"")"),"MOHAMMAD ABDULLAH S")</f>
        <v>MOHAMMAD ABDULLAH S</v>
      </c>
      <c r="D53" s="17" t="str">
        <f>IFERROR(__xludf.DUMMYFUNCTION("XLOOKUP(B53,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53" s="39" t="s">
        <v>111</v>
      </c>
      <c r="F53" s="14">
        <v>8.5</v>
      </c>
      <c r="G53" s="14" t="s">
        <v>59</v>
      </c>
      <c r="H53" s="14" t="s">
        <v>60</v>
      </c>
      <c r="I53" s="14" t="s">
        <v>62</v>
      </c>
      <c r="J53" s="14" t="s">
        <v>63</v>
      </c>
      <c r="K53" s="17" t="str">
        <f>IFERROR(__xludf.DUMMYFUNCTION("XLOOKUP(B53,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""-"")"),"mohammadabdullah.ec23@bitsathy.ac.in")</f>
        <v>mohammadabdullah.ec23@bitsathy.ac.in</v>
      </c>
      <c r="L53" s="21" t="str">
        <f>IFERROR(__xludf.DUMMYFUNCTION("XLOOKUP(B53,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""-"")"),"6383897550")</f>
        <v>6383897550</v>
      </c>
      <c r="M53" s="14" t="s">
        <v>71</v>
      </c>
      <c r="N53" s="14" t="s">
        <v>261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22"/>
      <c r="AA53" s="22"/>
      <c r="AB53" s="22"/>
      <c r="AC53" s="22"/>
      <c r="AD53" s="22"/>
    </row>
    <row r="54">
      <c r="A54" s="21">
        <v>53.0</v>
      </c>
      <c r="B54" s="38" t="s">
        <v>262</v>
      </c>
      <c r="C54" s="16" t="str">
        <f>IFERROR(__xludf.DUMMYFUNCTION("XLOOKUP(B54,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""-"")"),"NIVAS M R")</f>
        <v>NIVAS M R</v>
      </c>
      <c r="D54" s="17" t="str">
        <f>IFERROR(__xludf.DUMMYFUNCTION("XLOOKUP(B54,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54" s="39" t="s">
        <v>111</v>
      </c>
      <c r="F54" s="14">
        <v>8.5</v>
      </c>
      <c r="G54" s="14" t="s">
        <v>59</v>
      </c>
      <c r="H54" s="14" t="s">
        <v>60</v>
      </c>
      <c r="I54" s="14" t="s">
        <v>62</v>
      </c>
      <c r="J54" s="14" t="s">
        <v>63</v>
      </c>
      <c r="K54" s="17" t="str">
        <f>IFERROR(__xludf.DUMMYFUNCTION("XLOOKUP(B54,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""-"")"),"nivas.ad23@bitsathy.ac.in")</f>
        <v>nivas.ad23@bitsathy.ac.in</v>
      </c>
      <c r="L54" s="21" t="str">
        <f>IFERROR(__xludf.DUMMYFUNCTION("XLOOKUP(B54,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""-"")"),"9345921505")</f>
        <v>9345921505</v>
      </c>
      <c r="M54" s="14" t="s">
        <v>71</v>
      </c>
      <c r="N54" s="14" t="s">
        <v>261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22"/>
      <c r="AA54" s="22"/>
      <c r="AB54" s="22"/>
      <c r="AC54" s="22"/>
      <c r="AD54" s="22"/>
    </row>
    <row r="55">
      <c r="A55" s="21">
        <v>54.0</v>
      </c>
      <c r="B55" s="38" t="s">
        <v>263</v>
      </c>
      <c r="C55" s="16" t="str">
        <f>IFERROR(__xludf.DUMMYFUNCTION("XLOOKUP(B55,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""-"")"),"NAGARAJ R")</f>
        <v>NAGARAJ R</v>
      </c>
      <c r="D55" s="17" t="str">
        <f>IFERROR(__xludf.DUMMYFUNCTION("XLOOKUP(B55,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55" s="39" t="s">
        <v>111</v>
      </c>
      <c r="F55" s="14">
        <v>8.5</v>
      </c>
      <c r="G55" s="14" t="s">
        <v>59</v>
      </c>
      <c r="H55" s="14" t="s">
        <v>60</v>
      </c>
      <c r="I55" s="14" t="s">
        <v>62</v>
      </c>
      <c r="J55" s="14" t="s">
        <v>63</v>
      </c>
      <c r="K55" s="17" t="str">
        <f>IFERROR(__xludf.DUMMYFUNCTION("XLOOKUP(B55,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""-"")"),"nagaraj.it23@bitsathy.ac.in")</f>
        <v>nagaraj.it23@bitsathy.ac.in</v>
      </c>
      <c r="L55" s="21" t="str">
        <f>IFERROR(__xludf.DUMMYFUNCTION("XLOOKUP(B55,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""-"")"),"7708913121")</f>
        <v>7708913121</v>
      </c>
      <c r="M55" s="14" t="s">
        <v>71</v>
      </c>
      <c r="N55" s="14" t="s">
        <v>261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22"/>
      <c r="AA55" s="22"/>
      <c r="AB55" s="22"/>
      <c r="AC55" s="22"/>
      <c r="AD55" s="22"/>
    </row>
    <row r="56">
      <c r="A56" s="21">
        <v>55.0</v>
      </c>
      <c r="B56" s="38" t="s">
        <v>264</v>
      </c>
      <c r="C56" s="16" t="str">
        <f>IFERROR(__xludf.DUMMYFUNCTION("XLOOKUP(B56,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""-"")"),"THIRUSELVAN V")</f>
        <v>THIRUSELVAN V</v>
      </c>
      <c r="D56" s="17" t="str">
        <f>IFERROR(__xludf.DUMMYFUNCTION("XLOOKUP(B56,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56" s="39" t="s">
        <v>111</v>
      </c>
      <c r="F56" s="14">
        <v>8.5</v>
      </c>
      <c r="G56" s="14" t="s">
        <v>59</v>
      </c>
      <c r="H56" s="14" t="s">
        <v>60</v>
      </c>
      <c r="I56" s="14" t="s">
        <v>62</v>
      </c>
      <c r="J56" s="14" t="s">
        <v>63</v>
      </c>
      <c r="K56" s="17" t="str">
        <f>IFERROR(__xludf.DUMMYFUNCTION("XLOOKUP(B56,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""-"")"),"thiruselvan.cs23@bitsathy.ac.in")</f>
        <v>thiruselvan.cs23@bitsathy.ac.in</v>
      </c>
      <c r="L56" s="21" t="str">
        <f>IFERROR(__xludf.DUMMYFUNCTION("XLOOKUP(B56,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""-"")"),"9342654277")</f>
        <v>9342654277</v>
      </c>
      <c r="M56" s="14" t="s">
        <v>71</v>
      </c>
      <c r="N56" s="14" t="s">
        <v>261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22"/>
      <c r="AA56" s="22"/>
      <c r="AB56" s="22"/>
      <c r="AC56" s="22"/>
      <c r="AD56" s="22"/>
    </row>
    <row r="57">
      <c r="A57" s="21">
        <v>56.0</v>
      </c>
      <c r="B57" s="40" t="s">
        <v>265</v>
      </c>
      <c r="C57" s="16" t="str">
        <f>IFERROR(__xludf.DUMMYFUNCTION("XLOOKUP(B57,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""-"")"),"DHURSHITHA N")</f>
        <v>DHURSHITHA N</v>
      </c>
      <c r="D57" s="17" t="str">
        <f>IFERROR(__xludf.DUMMYFUNCTION("XLOOKUP(B57,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57" s="39" t="s">
        <v>161</v>
      </c>
      <c r="F57" s="14">
        <v>4.0</v>
      </c>
      <c r="G57" s="14" t="s">
        <v>59</v>
      </c>
      <c r="H57" s="14"/>
      <c r="I57" s="14" t="s">
        <v>62</v>
      </c>
      <c r="J57" s="14" t="s">
        <v>266</v>
      </c>
      <c r="K57" s="17" t="str">
        <f>IFERROR(__xludf.DUMMYFUNCTION("XLOOKUP(B57,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""-"")"),"dhurshitha.cs23@bitsathy.ac.in")</f>
        <v>dhurshitha.cs23@bitsathy.ac.in</v>
      </c>
      <c r="L57" s="21" t="str">
        <f>IFERROR(__xludf.DUMMYFUNCTION("XLOOKUP(B57,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""-"")"),"8825822218")</f>
        <v>8825822218</v>
      </c>
      <c r="M57" s="14" t="s">
        <v>71</v>
      </c>
      <c r="N57" s="14" t="s">
        <v>267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22"/>
      <c r="AA57" s="22"/>
      <c r="AB57" s="22"/>
      <c r="AC57" s="22"/>
      <c r="AD57" s="22"/>
    </row>
    <row r="58">
      <c r="A58" s="21">
        <v>57.0</v>
      </c>
      <c r="B58" s="40" t="s">
        <v>268</v>
      </c>
      <c r="C58" s="16" t="str">
        <f>IFERROR(__xludf.DUMMYFUNCTION("XLOOKUP(B58,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""-"")"),"ENITHA J R")</f>
        <v>ENITHA J R</v>
      </c>
      <c r="D58" s="17" t="str">
        <f>IFERROR(__xludf.DUMMYFUNCTION("XLOOKUP(B58,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58" s="39" t="s">
        <v>161</v>
      </c>
      <c r="F58" s="14">
        <v>4.0</v>
      </c>
      <c r="G58" s="14" t="s">
        <v>59</v>
      </c>
      <c r="H58" s="14"/>
      <c r="I58" s="14" t="s">
        <v>62</v>
      </c>
      <c r="J58" s="14" t="s">
        <v>266</v>
      </c>
      <c r="K58" s="17" t="str">
        <f>IFERROR(__xludf.DUMMYFUNCTION("XLOOKUP(B58,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""-"")"),"enitha.it23@bitsathy.ac.in")</f>
        <v>enitha.it23@bitsathy.ac.in</v>
      </c>
      <c r="L58" s="21" t="str">
        <f>IFERROR(__xludf.DUMMYFUNCTION("XLOOKUP(B58,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""-"")"),"9715168001")</f>
        <v>9715168001</v>
      </c>
      <c r="M58" s="14" t="s">
        <v>71</v>
      </c>
      <c r="N58" s="14" t="s">
        <v>267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22"/>
      <c r="AA58" s="22"/>
      <c r="AB58" s="22"/>
      <c r="AC58" s="22"/>
      <c r="AD58" s="22"/>
    </row>
    <row r="59">
      <c r="A59" s="21">
        <v>58.0</v>
      </c>
      <c r="B59" s="40" t="s">
        <v>259</v>
      </c>
      <c r="C59" s="16" t="str">
        <f>IFERROR(__xludf.DUMMYFUNCTION("XLOOKUP(B59,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""-"")"),"MAGESH KANNAN K")</f>
        <v>MAGESH KANNAN K</v>
      </c>
      <c r="D59" s="17" t="str">
        <f>IFERROR(__xludf.DUMMYFUNCTION("XLOOKUP(B59,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59" s="39" t="s">
        <v>161</v>
      </c>
      <c r="F59" s="14">
        <v>4.0</v>
      </c>
      <c r="G59" s="14" t="s">
        <v>59</v>
      </c>
      <c r="H59" s="14"/>
      <c r="I59" s="14" t="s">
        <v>62</v>
      </c>
      <c r="J59" s="14" t="s">
        <v>266</v>
      </c>
      <c r="K59" s="17" t="str">
        <f>IFERROR(__xludf.DUMMYFUNCTION("XLOOKUP(B59,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""-"")"),"mageshkannan.ad23@bitsathy.ac.in")</f>
        <v>mageshkannan.ad23@bitsathy.ac.in</v>
      </c>
      <c r="L59" s="21" t="str">
        <f>IFERROR(__xludf.DUMMYFUNCTION("XLOOKUP(B59,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""-"")"),"6380769369")</f>
        <v>6380769369</v>
      </c>
      <c r="M59" s="14" t="s">
        <v>71</v>
      </c>
      <c r="N59" s="14" t="s">
        <v>267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22"/>
      <c r="AA59" s="22"/>
      <c r="AB59" s="22"/>
      <c r="AC59" s="22"/>
      <c r="AD59" s="22"/>
    </row>
    <row r="60">
      <c r="A60" s="21">
        <v>59.0</v>
      </c>
      <c r="B60" s="40" t="s">
        <v>269</v>
      </c>
      <c r="C60" s="16" t="str">
        <f>IFERROR(__xludf.DUMMYFUNCTION("XLOOKUP(B60,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""-"")"),"MALARVIZHI A")</f>
        <v>MALARVIZHI A</v>
      </c>
      <c r="D60" s="17" t="str">
        <f>IFERROR(__xludf.DUMMYFUNCTION("XLOOKUP(B60,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60" s="39" t="s">
        <v>161</v>
      </c>
      <c r="F60" s="14">
        <v>4.0</v>
      </c>
      <c r="G60" s="14" t="s">
        <v>59</v>
      </c>
      <c r="H60" s="14"/>
      <c r="I60" s="14" t="s">
        <v>62</v>
      </c>
      <c r="J60" s="14" t="s">
        <v>266</v>
      </c>
      <c r="K60" s="17" t="str">
        <f>IFERROR(__xludf.DUMMYFUNCTION("XLOOKUP(B60,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""-"")"),"malarvizhi.ad23@bitsathy.ac.in")</f>
        <v>malarvizhi.ad23@bitsathy.ac.in</v>
      </c>
      <c r="L60" s="21" t="str">
        <f>IFERROR(__xludf.DUMMYFUNCTION("XLOOKUP(B60,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""-"")"),"8056934848")</f>
        <v>8056934848</v>
      </c>
      <c r="M60" s="14" t="s">
        <v>71</v>
      </c>
      <c r="N60" s="14" t="s">
        <v>267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22"/>
      <c r="AA60" s="22"/>
      <c r="AB60" s="22"/>
      <c r="AC60" s="22"/>
      <c r="AD60" s="22"/>
    </row>
    <row r="61">
      <c r="A61" s="21">
        <v>60.0</v>
      </c>
      <c r="B61" s="40" t="s">
        <v>270</v>
      </c>
      <c r="C61" s="16" t="str">
        <f>IFERROR(__xludf.DUMMYFUNCTION("XLOOKUP(B61,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""-"")"),"SANDHIYA  T")</f>
        <v>SANDHIYA  T</v>
      </c>
      <c r="D61" s="17" t="str">
        <f>IFERROR(__xludf.DUMMYFUNCTION("XLOOKUP(B61,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61" s="39" t="s">
        <v>161</v>
      </c>
      <c r="F61" s="14">
        <v>4.0</v>
      </c>
      <c r="G61" s="14" t="s">
        <v>59</v>
      </c>
      <c r="H61" s="14"/>
      <c r="I61" s="14" t="s">
        <v>62</v>
      </c>
      <c r="J61" s="14" t="s">
        <v>266</v>
      </c>
      <c r="K61" s="17" t="str">
        <f>IFERROR(__xludf.DUMMYFUNCTION("XLOOKUP(B61,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""-"")"),"sandhiya.cs23@bitsathy.ac.in")</f>
        <v>sandhiya.cs23@bitsathy.ac.in</v>
      </c>
      <c r="L61" s="21" t="str">
        <f>IFERROR(__xludf.DUMMYFUNCTION("XLOOKUP(B61,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""-"")"),"6381620695")</f>
        <v>6381620695</v>
      </c>
      <c r="M61" s="14" t="s">
        <v>71</v>
      </c>
      <c r="N61" s="14" t="s">
        <v>267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22"/>
      <c r="AA61" s="22"/>
      <c r="AB61" s="22"/>
      <c r="AC61" s="22"/>
      <c r="AD61" s="22"/>
    </row>
    <row r="62">
      <c r="A62" s="21">
        <v>61.0</v>
      </c>
      <c r="B62" s="40" t="s">
        <v>271</v>
      </c>
      <c r="C62" s="16" t="str">
        <f>IFERROR(__xludf.DUMMYFUNCTION("XLOOKUP(B62,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""-"")"),"GIRISH ASHOK GAIKWAD A")</f>
        <v>GIRISH ASHOK GAIKWAD A</v>
      </c>
      <c r="D62" s="17" t="str">
        <f>IFERROR(__xludf.DUMMYFUNCTION("XLOOKUP(B62,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62" s="39" t="s">
        <v>131</v>
      </c>
      <c r="F62" s="14">
        <v>10.0</v>
      </c>
      <c r="G62" s="14" t="s">
        <v>59</v>
      </c>
      <c r="H62" s="14"/>
      <c r="I62" s="14" t="s">
        <v>62</v>
      </c>
      <c r="J62" s="14" t="s">
        <v>266</v>
      </c>
      <c r="K62" s="17" t="str">
        <f>IFERROR(__xludf.DUMMYFUNCTION("XLOOKUP(B62,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""-"")"),"girishashokgaikwad.it23@bitsathy.ac.in")</f>
        <v>girishashokgaikwad.it23@bitsathy.ac.in</v>
      </c>
      <c r="L62" s="21" t="str">
        <f>IFERROR(__xludf.DUMMYFUNCTION("XLOOKUP(B62,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""-"")"),"8778943284")</f>
        <v>8778943284</v>
      </c>
      <c r="M62" s="14" t="s">
        <v>71</v>
      </c>
      <c r="N62" s="14" t="s">
        <v>272</v>
      </c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22"/>
      <c r="AA62" s="22"/>
      <c r="AB62" s="22"/>
      <c r="AC62" s="22"/>
      <c r="AD62" s="22"/>
    </row>
    <row r="63">
      <c r="A63" s="21">
        <v>62.0</v>
      </c>
      <c r="B63" s="40" t="s">
        <v>273</v>
      </c>
      <c r="C63" s="16" t="str">
        <f>IFERROR(__xludf.DUMMYFUNCTION("XLOOKUP(B63,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""-"")"),"THAYANITHI S")</f>
        <v>THAYANITHI S</v>
      </c>
      <c r="D63" s="17" t="str">
        <f>IFERROR(__xludf.DUMMYFUNCTION("XLOOKUP(B63,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63" s="39" t="s">
        <v>131</v>
      </c>
      <c r="F63" s="14">
        <v>10.0</v>
      </c>
      <c r="G63" s="14" t="s">
        <v>59</v>
      </c>
      <c r="H63" s="14"/>
      <c r="I63" s="14" t="s">
        <v>62</v>
      </c>
      <c r="J63" s="14" t="s">
        <v>266</v>
      </c>
      <c r="K63" s="17" t="str">
        <f>IFERROR(__xludf.DUMMYFUNCTION("XLOOKUP(B63,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""-"")"),"thayanithi.cs23@bitsathy.ac.in")</f>
        <v>thayanithi.cs23@bitsathy.ac.in</v>
      </c>
      <c r="L63" s="21" t="str">
        <f>IFERROR(__xludf.DUMMYFUNCTION("XLOOKUP(B63,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""-"")"),"9025391287")</f>
        <v>9025391287</v>
      </c>
      <c r="M63" s="14" t="s">
        <v>71</v>
      </c>
      <c r="N63" s="14" t="s">
        <v>272</v>
      </c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22"/>
      <c r="AA63" s="22"/>
      <c r="AB63" s="22"/>
      <c r="AC63" s="22"/>
      <c r="AD63" s="22"/>
    </row>
    <row r="64">
      <c r="A64" s="21">
        <v>63.0</v>
      </c>
      <c r="B64" s="40" t="s">
        <v>274</v>
      </c>
      <c r="C64" s="16" t="str">
        <f>IFERROR(__xludf.DUMMYFUNCTION("XLOOKUP(B64,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""-"")"),"MAHAVISHNU K")</f>
        <v>MAHAVISHNU K</v>
      </c>
      <c r="D64" s="17" t="str">
        <f>IFERROR(__xludf.DUMMYFUNCTION("XLOOKUP(B64,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64" s="39" t="s">
        <v>131</v>
      </c>
      <c r="F64" s="14">
        <v>10.0</v>
      </c>
      <c r="G64" s="14" t="s">
        <v>59</v>
      </c>
      <c r="H64" s="14"/>
      <c r="I64" s="14" t="s">
        <v>62</v>
      </c>
      <c r="J64" s="14" t="s">
        <v>266</v>
      </c>
      <c r="K64" s="17" t="str">
        <f>IFERROR(__xludf.DUMMYFUNCTION("XLOOKUP(B64,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""-"")"),"mahavishnu.ad23@bitsathy.ac.in")</f>
        <v>mahavishnu.ad23@bitsathy.ac.in</v>
      </c>
      <c r="L64" s="21" t="str">
        <f>IFERROR(__xludf.DUMMYFUNCTION("XLOOKUP(B64,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""-"")"),"7904664453")</f>
        <v>7904664453</v>
      </c>
      <c r="M64" s="14" t="s">
        <v>71</v>
      </c>
      <c r="N64" s="14" t="s">
        <v>272</v>
      </c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22"/>
      <c r="AA64" s="22"/>
      <c r="AB64" s="22"/>
      <c r="AC64" s="22"/>
      <c r="AD64" s="22"/>
    </row>
    <row r="65">
      <c r="A65" s="21">
        <v>64.0</v>
      </c>
      <c r="B65" s="40" t="s">
        <v>275</v>
      </c>
      <c r="C65" s="16" t="str">
        <f>IFERROR(__xludf.DUMMYFUNCTION("XLOOKUP(B65,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""-"")"),"HARISH KHARTHIK C S")</f>
        <v>HARISH KHARTHIK C S</v>
      </c>
      <c r="D65" s="17" t="str">
        <f>IFERROR(__xludf.DUMMYFUNCTION("XLOOKUP(B65,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""-"")"),"MECHATRONICS ENGINEERING")</f>
        <v>MECHATRONICS ENGINEERING</v>
      </c>
      <c r="E65" s="41" t="s">
        <v>128</v>
      </c>
      <c r="F65" s="14">
        <v>5.0</v>
      </c>
      <c r="G65" s="14" t="s">
        <v>59</v>
      </c>
      <c r="H65" s="14"/>
      <c r="I65" s="14" t="s">
        <v>136</v>
      </c>
      <c r="J65" s="14" t="s">
        <v>266</v>
      </c>
      <c r="K65" s="17" t="str">
        <f>IFERROR(__xludf.DUMMYFUNCTION("XLOOKUP(B65,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""-"")"),"harishkharthik.mz23@bitsathy.ac.in")</f>
        <v>harishkharthik.mz23@bitsathy.ac.in</v>
      </c>
      <c r="L65" s="21" t="str">
        <f>IFERROR(__xludf.DUMMYFUNCTION("XLOOKUP(B65,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""-"")"),"9715736151")</f>
        <v>9715736151</v>
      </c>
      <c r="M65" s="14" t="s">
        <v>240</v>
      </c>
      <c r="N65" s="14" t="s">
        <v>276</v>
      </c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22"/>
      <c r="AA65" s="22"/>
      <c r="AB65" s="22"/>
      <c r="AC65" s="22"/>
      <c r="AD65" s="22"/>
    </row>
    <row r="66">
      <c r="A66" s="21">
        <v>65.0</v>
      </c>
      <c r="B66" s="40" t="s">
        <v>6</v>
      </c>
      <c r="C66" s="16" t="str">
        <f>IFERROR(__xludf.DUMMYFUNCTION("XLOOKUP(B66,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""-"")"),"NITHISRI K A")</f>
        <v>NITHISRI K A</v>
      </c>
      <c r="D66" s="17" t="str">
        <f>IFERROR(__xludf.DUMMYFUNCTION("XLOOKUP(B66,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""-"")"),"BIOMEDICAL ENGINEERING")</f>
        <v>BIOMEDICAL ENGINEERING</v>
      </c>
      <c r="E66" s="41" t="s">
        <v>90</v>
      </c>
      <c r="F66" s="14">
        <v>6.5</v>
      </c>
      <c r="G66" s="14" t="s">
        <v>59</v>
      </c>
      <c r="H66" s="14" t="s">
        <v>60</v>
      </c>
      <c r="I66" s="14" t="s">
        <v>62</v>
      </c>
      <c r="J66" s="14" t="s">
        <v>277</v>
      </c>
      <c r="K66" s="17" t="str">
        <f>IFERROR(__xludf.DUMMYFUNCTION("XLOOKUP(B66,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""-"")"),"nithisri.bm23@bitsathy.ac.in")</f>
        <v>nithisri.bm23@bitsathy.ac.in</v>
      </c>
      <c r="L66" s="21" t="str">
        <f>IFERROR(__xludf.DUMMYFUNCTION("XLOOKUP(B66,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""-"")"),"8012802570")</f>
        <v>8012802570</v>
      </c>
      <c r="M66" s="14" t="s">
        <v>71</v>
      </c>
      <c r="N66" s="14" t="s">
        <v>278</v>
      </c>
      <c r="O66" s="34"/>
      <c r="P66" s="34"/>
      <c r="Q66" s="34"/>
      <c r="R66" s="34"/>
      <c r="S66" s="34"/>
      <c r="T66" s="34"/>
      <c r="U66" s="34"/>
      <c r="V66" s="34"/>
      <c r="W66" s="34"/>
      <c r="X66" s="35" t="s">
        <v>279</v>
      </c>
      <c r="Y66" s="34"/>
      <c r="Z66" s="22"/>
      <c r="AA66" s="22"/>
      <c r="AB66" s="22"/>
      <c r="AC66" s="22"/>
      <c r="AD66" s="22"/>
    </row>
    <row r="67">
      <c r="A67" s="21">
        <v>66.0</v>
      </c>
      <c r="B67" s="40" t="s">
        <v>22</v>
      </c>
      <c r="C67" s="16" t="str">
        <f>IFERROR(__xludf.DUMMYFUNCTION("XLOOKUP(B67,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""-"")"),"NAVANEETHA KRISHNAN S")</f>
        <v>NAVANEETHA KRISHNAN S</v>
      </c>
      <c r="D67" s="17" t="str">
        <f>IFERROR(__xludf.DUMMYFUNCTION("XLOOKUP(B67,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67" s="41" t="s">
        <v>90</v>
      </c>
      <c r="F67" s="14">
        <v>10.0</v>
      </c>
      <c r="G67" s="14" t="s">
        <v>59</v>
      </c>
      <c r="H67" s="14" t="s">
        <v>60</v>
      </c>
      <c r="I67" s="14" t="s">
        <v>62</v>
      </c>
      <c r="J67" s="14" t="s">
        <v>280</v>
      </c>
      <c r="K67" s="17" t="str">
        <f>IFERROR(__xludf.DUMMYFUNCTION("XLOOKUP(B67,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""-"")"),"navaneethakrishnan.cs23@bitsathy.ac.in")</f>
        <v>navaneethakrishnan.cs23@bitsathy.ac.in</v>
      </c>
      <c r="L67" s="21" t="str">
        <f>IFERROR(__xludf.DUMMYFUNCTION("XLOOKUP(B67,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""-"")"),"9080619540")</f>
        <v>9080619540</v>
      </c>
      <c r="M67" s="14" t="s">
        <v>71</v>
      </c>
      <c r="N67" s="14" t="s">
        <v>278</v>
      </c>
      <c r="O67" s="34"/>
      <c r="P67" s="34"/>
      <c r="Q67" s="34"/>
      <c r="R67" s="34"/>
      <c r="S67" s="34"/>
      <c r="T67" s="34"/>
      <c r="U67" s="34"/>
      <c r="V67" s="34"/>
      <c r="W67" s="34"/>
      <c r="X67" s="35" t="s">
        <v>281</v>
      </c>
      <c r="Y67" s="34"/>
      <c r="Z67" s="22"/>
      <c r="AA67" s="22"/>
      <c r="AB67" s="22"/>
      <c r="AC67" s="22"/>
      <c r="AD67" s="22"/>
    </row>
    <row r="68">
      <c r="A68" s="21">
        <v>67.0</v>
      </c>
      <c r="B68" s="40" t="s">
        <v>12</v>
      </c>
      <c r="C68" s="16" t="str">
        <f>IFERROR(__xludf.DUMMYFUNCTION("XLOOKUP(B68,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""-"")"),"DHARSHINI S")</f>
        <v>DHARSHINI S</v>
      </c>
      <c r="D68" s="17" t="str">
        <f>IFERROR(__xludf.DUMMYFUNCTION("XLOOKUP(B68,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68" s="41" t="s">
        <v>90</v>
      </c>
      <c r="F68" s="14">
        <v>6.5</v>
      </c>
      <c r="G68" s="14" t="s">
        <v>59</v>
      </c>
      <c r="H68" s="14" t="s">
        <v>60</v>
      </c>
      <c r="I68" s="14" t="s">
        <v>62</v>
      </c>
      <c r="J68" s="14" t="s">
        <v>277</v>
      </c>
      <c r="K68" s="17" t="str">
        <f>IFERROR(__xludf.DUMMYFUNCTION("XLOOKUP(B68,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""-"")"),"dharshini.ad23@bitsathy.ac.in")</f>
        <v>dharshini.ad23@bitsathy.ac.in</v>
      </c>
      <c r="L68" s="21" t="str">
        <f>IFERROR(__xludf.DUMMYFUNCTION("XLOOKUP(B68,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""-"")"),"7708571672")</f>
        <v>7708571672</v>
      </c>
      <c r="M68" s="14" t="s">
        <v>71</v>
      </c>
      <c r="N68" s="14" t="s">
        <v>278</v>
      </c>
      <c r="O68" s="34"/>
      <c r="P68" s="34"/>
      <c r="Q68" s="34"/>
      <c r="R68" s="34"/>
      <c r="S68" s="34"/>
      <c r="T68" s="34"/>
      <c r="U68" s="34"/>
      <c r="V68" s="34"/>
      <c r="W68" s="34"/>
      <c r="X68" s="35" t="s">
        <v>282</v>
      </c>
      <c r="Y68" s="34"/>
      <c r="Z68" s="22"/>
      <c r="AA68" s="22"/>
      <c r="AB68" s="22"/>
      <c r="AC68" s="22"/>
      <c r="AD68" s="22"/>
    </row>
    <row r="69">
      <c r="A69" s="21">
        <v>68.0</v>
      </c>
      <c r="B69" s="40" t="s">
        <v>31</v>
      </c>
      <c r="C69" s="16" t="str">
        <f>IFERROR(__xludf.DUMMYFUNCTION("XLOOKUP(B69,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""-"")"),"UDHAYAKARTHICK N")</f>
        <v>UDHAYAKARTHICK N</v>
      </c>
      <c r="D69" s="17" t="str">
        <f>IFERROR(__xludf.DUMMYFUNCTION("XLOOKUP(B69,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69" s="41" t="s">
        <v>90</v>
      </c>
      <c r="F69" s="14">
        <v>10.0</v>
      </c>
      <c r="G69" s="14" t="s">
        <v>59</v>
      </c>
      <c r="H69" s="14" t="s">
        <v>60</v>
      </c>
      <c r="I69" s="14" t="s">
        <v>62</v>
      </c>
      <c r="J69" s="14" t="s">
        <v>280</v>
      </c>
      <c r="K69" s="17" t="str">
        <f>IFERROR(__xludf.DUMMYFUNCTION("XLOOKUP(B69,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""-"")"),"udhayakarthick.ad23@bitsathy.ac.in")</f>
        <v>udhayakarthick.ad23@bitsathy.ac.in</v>
      </c>
      <c r="L69" s="21" t="str">
        <f>IFERROR(__xludf.DUMMYFUNCTION("XLOOKUP(B69,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""-"")"),"7810084530")</f>
        <v>7810084530</v>
      </c>
      <c r="M69" s="14" t="s">
        <v>71</v>
      </c>
      <c r="N69" s="14" t="s">
        <v>278</v>
      </c>
      <c r="O69" s="34"/>
      <c r="P69" s="34"/>
      <c r="Q69" s="34"/>
      <c r="R69" s="34"/>
      <c r="S69" s="34"/>
      <c r="T69" s="34"/>
      <c r="U69" s="34"/>
      <c r="V69" s="34"/>
      <c r="W69" s="34"/>
      <c r="X69" s="35" t="s">
        <v>283</v>
      </c>
      <c r="Y69" s="34"/>
      <c r="Z69" s="22"/>
      <c r="AA69" s="22"/>
      <c r="AB69" s="22"/>
      <c r="AC69" s="22"/>
      <c r="AD69" s="22"/>
    </row>
    <row r="70">
      <c r="A70" s="21">
        <v>69.0</v>
      </c>
      <c r="B70" s="40" t="s">
        <v>15</v>
      </c>
      <c r="C70" s="16" t="str">
        <f>IFERROR(__xludf.DUMMYFUNCTION("XLOOKUP(B70,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""-"")"),"DHARNESH K")</f>
        <v>DHARNESH K</v>
      </c>
      <c r="D70" s="17" t="str">
        <f>IFERROR(__xludf.DUMMYFUNCTION("XLOOKUP(B70,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BUSINESS SYSTEMS")</f>
        <v>COMPUTER SCIENCE AND BUSINESS SYSTEMS</v>
      </c>
      <c r="E70" s="41" t="s">
        <v>90</v>
      </c>
      <c r="F70" s="14">
        <v>6.5</v>
      </c>
      <c r="G70" s="14" t="s">
        <v>59</v>
      </c>
      <c r="H70" s="14" t="s">
        <v>60</v>
      </c>
      <c r="I70" s="14" t="s">
        <v>62</v>
      </c>
      <c r="J70" s="14" t="s">
        <v>277</v>
      </c>
      <c r="K70" s="17" t="str">
        <f>IFERROR(__xludf.DUMMYFUNCTION("XLOOKUP(B70,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""-"")"),"dharnesh.cb23@bitsathy.ac.in")</f>
        <v>dharnesh.cb23@bitsathy.ac.in</v>
      </c>
      <c r="L70" s="21" t="str">
        <f>IFERROR(__xludf.DUMMYFUNCTION("XLOOKUP(B70,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""-"")"),"9342608606")</f>
        <v>9342608606</v>
      </c>
      <c r="M70" s="14" t="s">
        <v>71</v>
      </c>
      <c r="N70" s="14" t="s">
        <v>278</v>
      </c>
      <c r="O70" s="34"/>
      <c r="P70" s="34"/>
      <c r="Q70" s="34"/>
      <c r="R70" s="34"/>
      <c r="S70" s="34"/>
      <c r="T70" s="34"/>
      <c r="U70" s="34"/>
      <c r="V70" s="34"/>
      <c r="W70" s="34"/>
      <c r="X70" s="35" t="s">
        <v>284</v>
      </c>
      <c r="Y70" s="34"/>
      <c r="Z70" s="22"/>
      <c r="AA70" s="22"/>
      <c r="AB70" s="22"/>
      <c r="AC70" s="22"/>
      <c r="AD70" s="22"/>
    </row>
    <row r="71">
      <c r="A71" s="21">
        <v>70.0</v>
      </c>
      <c r="B71" s="40" t="s">
        <v>18</v>
      </c>
      <c r="C71" s="16" t="str">
        <f>IFERROR(__xludf.DUMMYFUNCTION("XLOOKUP(B71,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""-"")"),"PRANAV BALAJI P MA")</f>
        <v>PRANAV BALAJI P MA</v>
      </c>
      <c r="D71" s="17" t="str">
        <f>IFERROR(__xludf.DUMMYFUNCTION("XLOOKUP(B71,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BUSINESS SYSTEMS")</f>
        <v>COMPUTER SCIENCE AND BUSINESS SYSTEMS</v>
      </c>
      <c r="E71" s="41" t="s">
        <v>90</v>
      </c>
      <c r="F71" s="14">
        <v>6.5</v>
      </c>
      <c r="G71" s="14" t="s">
        <v>59</v>
      </c>
      <c r="H71" s="14" t="s">
        <v>60</v>
      </c>
      <c r="I71" s="14" t="s">
        <v>62</v>
      </c>
      <c r="J71" s="14" t="s">
        <v>277</v>
      </c>
      <c r="K71" s="17" t="str">
        <f>IFERROR(__xludf.DUMMYFUNCTION("XLOOKUP(B71,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""-"")"),"pranavbalaji.cb23@bitsathy.ac.in")</f>
        <v>pranavbalaji.cb23@bitsathy.ac.in</v>
      </c>
      <c r="L71" s="21" t="str">
        <f>IFERROR(__xludf.DUMMYFUNCTION("XLOOKUP(B71,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""-"")"),"9080712767")</f>
        <v>9080712767</v>
      </c>
      <c r="M71" s="14" t="s">
        <v>71</v>
      </c>
      <c r="N71" s="14" t="s">
        <v>278</v>
      </c>
      <c r="O71" s="34"/>
      <c r="P71" s="34"/>
      <c r="Q71" s="34"/>
      <c r="R71" s="34"/>
      <c r="S71" s="34"/>
      <c r="T71" s="34"/>
      <c r="U71" s="34"/>
      <c r="V71" s="34"/>
      <c r="W71" s="34"/>
      <c r="X71" s="35" t="s">
        <v>285</v>
      </c>
      <c r="Y71" s="34"/>
      <c r="Z71" s="22"/>
      <c r="AA71" s="22"/>
      <c r="AB71" s="22"/>
      <c r="AC71" s="22"/>
      <c r="AD71" s="22"/>
    </row>
    <row r="72">
      <c r="A72" s="21">
        <v>71.0</v>
      </c>
      <c r="B72" s="40" t="s">
        <v>286</v>
      </c>
      <c r="C72" s="16" t="str">
        <f>IFERROR(__xludf.DUMMYFUNCTION("XLOOKUP(B72,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""-"")"),"PRASANNAVADHANA V")</f>
        <v>PRASANNAVADHANA V</v>
      </c>
      <c r="D72" s="17" t="str">
        <f>IFERROR(__xludf.DUMMYFUNCTION("XLOOKUP(B72,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72" s="39" t="s">
        <v>113</v>
      </c>
      <c r="F72" s="14">
        <v>6.0</v>
      </c>
      <c r="G72" s="14" t="s">
        <v>59</v>
      </c>
      <c r="H72" s="14"/>
      <c r="I72" s="14" t="s">
        <v>136</v>
      </c>
      <c r="J72" s="14" t="s">
        <v>287</v>
      </c>
      <c r="K72" s="17" t="str">
        <f>IFERROR(__xludf.DUMMYFUNCTION("XLOOKUP(B72,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""-"")"),"prasannavadhana.ec23@bitsathy.ac.in")</f>
        <v>prasannavadhana.ec23@bitsathy.ac.in</v>
      </c>
      <c r="L72" s="21" t="str">
        <f>IFERROR(__xludf.DUMMYFUNCTION("XLOOKUP(B72,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""-"")"),"7598897375")</f>
        <v>7598897375</v>
      </c>
      <c r="M72" s="14" t="s">
        <v>288</v>
      </c>
      <c r="N72" s="14" t="s">
        <v>289</v>
      </c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22"/>
      <c r="AA72" s="22"/>
      <c r="AB72" s="22"/>
      <c r="AC72" s="22"/>
      <c r="AD72" s="22"/>
    </row>
    <row r="73">
      <c r="A73" s="21">
        <v>72.0</v>
      </c>
      <c r="B73" s="42" t="s">
        <v>290</v>
      </c>
      <c r="C73" s="16" t="str">
        <f>IFERROR(__xludf.DUMMYFUNCTION("XLOOKUP(B73,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""-"")"),"KAVYA C")</f>
        <v>KAVYA C</v>
      </c>
      <c r="D73" s="17" t="str">
        <f>IFERROR(__xludf.DUMMYFUNCTION("XLOOKUP(B73,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73" s="41" t="s">
        <v>192</v>
      </c>
      <c r="F73" s="14">
        <v>3.6</v>
      </c>
      <c r="G73" s="14" t="s">
        <v>59</v>
      </c>
      <c r="H73" s="14"/>
      <c r="I73" s="14" t="s">
        <v>136</v>
      </c>
      <c r="J73" s="14" t="s">
        <v>63</v>
      </c>
      <c r="K73" s="17" t="str">
        <f>IFERROR(__xludf.DUMMYFUNCTION("XLOOKUP(B73,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""-"")"),"kavya.ec23@bitsathy.ac.in")</f>
        <v>kavya.ec23@bitsathy.ac.in</v>
      </c>
      <c r="L73" s="21" t="str">
        <f>IFERROR(__xludf.DUMMYFUNCTION("XLOOKUP(B73,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""-"")"),"9361159844")</f>
        <v>9361159844</v>
      </c>
      <c r="M73" s="14" t="s">
        <v>71</v>
      </c>
      <c r="N73" s="14" t="s">
        <v>291</v>
      </c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22"/>
      <c r="AA73" s="22"/>
      <c r="AB73" s="22"/>
      <c r="AC73" s="22"/>
      <c r="AD73" s="22"/>
    </row>
    <row r="74">
      <c r="A74" s="21">
        <v>73.0</v>
      </c>
      <c r="B74" s="42" t="s">
        <v>292</v>
      </c>
      <c r="C74" s="16" t="str">
        <f>IFERROR(__xludf.DUMMYFUNCTION("XLOOKUP(B74,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""-"")"),"HEMALASREE S")</f>
        <v>HEMALASREE S</v>
      </c>
      <c r="D74" s="17" t="str">
        <f>IFERROR(__xludf.DUMMYFUNCTION("XLOOKUP(B74,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74" s="33" t="s">
        <v>115</v>
      </c>
      <c r="F74" s="14">
        <v>4.0</v>
      </c>
      <c r="G74" s="14" t="s">
        <v>252</v>
      </c>
      <c r="H74" s="14"/>
      <c r="I74" s="14" t="s">
        <v>62</v>
      </c>
      <c r="J74" s="14" t="s">
        <v>174</v>
      </c>
      <c r="K74" s="17" t="str">
        <f>IFERROR(__xludf.DUMMYFUNCTION("XLOOKUP(B74,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""-"")"),"hemalasree.cs23@bitsathy.ac.in")</f>
        <v>hemalasree.cs23@bitsathy.ac.in</v>
      </c>
      <c r="L74" s="21" t="str">
        <f>IFERROR(__xludf.DUMMYFUNCTION("XLOOKUP(B74,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""-"")"),"9092952997")</f>
        <v>9092952997</v>
      </c>
      <c r="M74" s="14" t="s">
        <v>71</v>
      </c>
      <c r="N74" s="14" t="s">
        <v>293</v>
      </c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22"/>
      <c r="AA74" s="22"/>
      <c r="AB74" s="22"/>
      <c r="AC74" s="22"/>
      <c r="AD74" s="22"/>
    </row>
    <row r="75">
      <c r="A75" s="21">
        <v>74.0</v>
      </c>
      <c r="B75" s="42" t="s">
        <v>294</v>
      </c>
      <c r="C75" s="16" t="str">
        <f>IFERROR(__xludf.DUMMYFUNCTION("XLOOKUP(B75,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""-"")"),"ISHWARYA  R")</f>
        <v>ISHWARYA  R</v>
      </c>
      <c r="D75" s="17" t="str">
        <f>IFERROR(__xludf.DUMMYFUNCTION("XLOOKUP(B75,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75" s="33" t="s">
        <v>115</v>
      </c>
      <c r="F75" s="14">
        <v>4.0</v>
      </c>
      <c r="G75" s="14" t="s">
        <v>252</v>
      </c>
      <c r="H75" s="14"/>
      <c r="I75" s="14" t="s">
        <v>62</v>
      </c>
      <c r="J75" s="14" t="s">
        <v>63</v>
      </c>
      <c r="K75" s="17" t="str">
        <f>IFERROR(__xludf.DUMMYFUNCTION("XLOOKUP(B75,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""-"")"),"ishwarya.ad23@bitsathy.ac.in")</f>
        <v>ishwarya.ad23@bitsathy.ac.in</v>
      </c>
      <c r="L75" s="21" t="str">
        <f>IFERROR(__xludf.DUMMYFUNCTION("XLOOKUP(B75,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""-"")"),"9489523948")</f>
        <v>9489523948</v>
      </c>
      <c r="M75" s="14" t="s">
        <v>71</v>
      </c>
      <c r="N75" s="14" t="s">
        <v>293</v>
      </c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22"/>
      <c r="AA75" s="22"/>
      <c r="AB75" s="22"/>
      <c r="AC75" s="22"/>
      <c r="AD75" s="22"/>
    </row>
    <row r="76">
      <c r="A76" s="21">
        <v>75.0</v>
      </c>
      <c r="B76" s="42" t="s">
        <v>295</v>
      </c>
      <c r="C76" s="16" t="str">
        <f>IFERROR(__xludf.DUMMYFUNCTION("XLOOKUP(B76,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""-"")"),"JEEVITHA S")</f>
        <v>JEEVITHA S</v>
      </c>
      <c r="D76" s="17" t="str">
        <f>IFERROR(__xludf.DUMMYFUNCTION("XLOOKUP(B76,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76" s="33" t="s">
        <v>115</v>
      </c>
      <c r="F76" s="14">
        <v>4.0</v>
      </c>
      <c r="G76" s="14" t="s">
        <v>252</v>
      </c>
      <c r="H76" s="14"/>
      <c r="I76" s="14" t="s">
        <v>62</v>
      </c>
      <c r="J76" s="14" t="s">
        <v>99</v>
      </c>
      <c r="K76" s="17" t="str">
        <f>IFERROR(__xludf.DUMMYFUNCTION("XLOOKUP(B76,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""-"")"),"jeevitha.ad23@bitsathy.ac.in")</f>
        <v>jeevitha.ad23@bitsathy.ac.in</v>
      </c>
      <c r="L76" s="21" t="str">
        <f>IFERROR(__xludf.DUMMYFUNCTION("XLOOKUP(B76,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""-"")"),"6305092826")</f>
        <v>6305092826</v>
      </c>
      <c r="M76" s="14" t="s">
        <v>71</v>
      </c>
      <c r="N76" s="14" t="s">
        <v>293</v>
      </c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22"/>
      <c r="AA76" s="22"/>
      <c r="AB76" s="22"/>
      <c r="AC76" s="22"/>
      <c r="AD76" s="22"/>
    </row>
    <row r="77">
      <c r="A77" s="21">
        <v>76.0</v>
      </c>
      <c r="B77" s="42" t="s">
        <v>296</v>
      </c>
      <c r="C77" s="16" t="str">
        <f>IFERROR(__xludf.DUMMYFUNCTION("XLOOKUP(B77,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""-"")"),"KISHORE R")</f>
        <v>KISHORE R</v>
      </c>
      <c r="D77" s="17" t="str">
        <f>IFERROR(__xludf.DUMMYFUNCTION("XLOOKUP(B77,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MACHINE LEARNING")</f>
        <v>ARTIFICIAL INTELLIGENCE AND MACHINE LEARNING</v>
      </c>
      <c r="E77" s="33" t="s">
        <v>115</v>
      </c>
      <c r="F77" s="14">
        <v>4.0</v>
      </c>
      <c r="G77" s="14" t="s">
        <v>252</v>
      </c>
      <c r="H77" s="14"/>
      <c r="I77" s="14" t="s">
        <v>62</v>
      </c>
      <c r="J77" s="14" t="s">
        <v>63</v>
      </c>
      <c r="K77" s="17" t="str">
        <f>IFERROR(__xludf.DUMMYFUNCTION("XLOOKUP(B77,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""-"")"),"kishore.al23@bitsathy.ac.in")</f>
        <v>kishore.al23@bitsathy.ac.in</v>
      </c>
      <c r="L77" s="21" t="str">
        <f>IFERROR(__xludf.DUMMYFUNCTION("XLOOKUP(B77,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""-"")"),"8807303469")</f>
        <v>8807303469</v>
      </c>
      <c r="M77" s="14" t="s">
        <v>71</v>
      </c>
      <c r="N77" s="14" t="s">
        <v>293</v>
      </c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22"/>
      <c r="AA77" s="22"/>
      <c r="AB77" s="22"/>
      <c r="AC77" s="22"/>
      <c r="AD77" s="22"/>
    </row>
    <row r="78">
      <c r="A78" s="21">
        <v>77.0</v>
      </c>
      <c r="B78" s="42" t="s">
        <v>297</v>
      </c>
      <c r="C78" s="16" t="str">
        <f>IFERROR(__xludf.DUMMYFUNCTION("XLOOKUP(B78,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""-"")"),"NANDIDWAJ  R G")</f>
        <v>NANDIDWAJ  R G</v>
      </c>
      <c r="D78" s="17" t="str">
        <f>IFERROR(__xludf.DUMMYFUNCTION("XLOOKUP(B78,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78" s="33" t="s">
        <v>115</v>
      </c>
      <c r="F78" s="14">
        <v>4.0</v>
      </c>
      <c r="G78" s="14" t="s">
        <v>252</v>
      </c>
      <c r="H78" s="14"/>
      <c r="I78" s="14" t="s">
        <v>62</v>
      </c>
      <c r="J78" s="14" t="s">
        <v>174</v>
      </c>
      <c r="K78" s="17" t="str">
        <f>IFERROR(__xludf.DUMMYFUNCTION("XLOOKUP(B78,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""-"")"),"nandidwaj.ad23@bitsathy.ac.in")</f>
        <v>nandidwaj.ad23@bitsathy.ac.in</v>
      </c>
      <c r="L78" s="21" t="str">
        <f>IFERROR(__xludf.DUMMYFUNCTION("XLOOKUP(B78,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""-"")"),"9345903662")</f>
        <v>9345903662</v>
      </c>
      <c r="M78" s="14" t="s">
        <v>71</v>
      </c>
      <c r="N78" s="14" t="s">
        <v>293</v>
      </c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22"/>
      <c r="AA78" s="22"/>
      <c r="AB78" s="22"/>
      <c r="AC78" s="22"/>
      <c r="AD78" s="22"/>
    </row>
    <row r="79">
      <c r="A79" s="21">
        <v>78.0</v>
      </c>
      <c r="B79" s="42" t="s">
        <v>298</v>
      </c>
      <c r="C79" s="16" t="str">
        <f>IFERROR(__xludf.DUMMYFUNCTION("XLOOKUP(B79,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""-"")"),"NITHISH S")</f>
        <v>NITHISH S</v>
      </c>
      <c r="D79" s="17" t="str">
        <f>IFERROR(__xludf.DUMMYFUNCTION("XLOOKUP(B79,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79" s="33" t="s">
        <v>115</v>
      </c>
      <c r="F79" s="14">
        <v>4.0</v>
      </c>
      <c r="G79" s="14" t="s">
        <v>252</v>
      </c>
      <c r="H79" s="14"/>
      <c r="I79" s="14" t="s">
        <v>62</v>
      </c>
      <c r="J79" s="14" t="s">
        <v>99</v>
      </c>
      <c r="K79" s="17" t="str">
        <f>IFERROR(__xludf.DUMMYFUNCTION("XLOOKUP(B79,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""-"")"),"nithish.cs23@bitsathy.ac.in")</f>
        <v>nithish.cs23@bitsathy.ac.in</v>
      </c>
      <c r="L79" s="21" t="str">
        <f>IFERROR(__xludf.DUMMYFUNCTION("XLOOKUP(B79,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""-"")"),"7695807040")</f>
        <v>7695807040</v>
      </c>
      <c r="M79" s="14" t="s">
        <v>71</v>
      </c>
      <c r="N79" s="14" t="s">
        <v>293</v>
      </c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22"/>
      <c r="AA79" s="22"/>
      <c r="AB79" s="22"/>
      <c r="AC79" s="22"/>
      <c r="AD79" s="22"/>
    </row>
    <row r="80">
      <c r="A80" s="21">
        <v>79.0</v>
      </c>
      <c r="B80" s="42" t="s">
        <v>299</v>
      </c>
      <c r="C80" s="16" t="str">
        <f>IFERROR(__xludf.DUMMYFUNCTION("XLOOKUP(B80,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""-"")"),"RAAJA HARI VIGNESH S")</f>
        <v>RAAJA HARI VIGNESH S</v>
      </c>
      <c r="D80" s="17" t="str">
        <f>IFERROR(__xludf.DUMMYFUNCTION("XLOOKUP(B80,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TECHNOLOGY")</f>
        <v>COMPUTER TECHNOLOGY</v>
      </c>
      <c r="E80" s="33" t="s">
        <v>115</v>
      </c>
      <c r="F80" s="14">
        <v>4.0</v>
      </c>
      <c r="G80" s="14" t="s">
        <v>252</v>
      </c>
      <c r="H80" s="14"/>
      <c r="I80" s="14" t="s">
        <v>62</v>
      </c>
      <c r="J80" s="14" t="s">
        <v>63</v>
      </c>
      <c r="K80" s="17" t="str">
        <f>IFERROR(__xludf.DUMMYFUNCTION("XLOOKUP(B80,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""-"")"),"raajaharivignesh.ct23@bitsathy.ac.in")</f>
        <v>raajaharivignesh.ct23@bitsathy.ac.in</v>
      </c>
      <c r="L80" s="21" t="str">
        <f>IFERROR(__xludf.DUMMYFUNCTION("XLOOKUP(B80,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""-"")"),"7339565407")</f>
        <v>7339565407</v>
      </c>
      <c r="M80" s="14" t="s">
        <v>71</v>
      </c>
      <c r="N80" s="14" t="s">
        <v>293</v>
      </c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22"/>
      <c r="AA80" s="22"/>
      <c r="AB80" s="22"/>
      <c r="AC80" s="22"/>
      <c r="AD80" s="22"/>
    </row>
    <row r="81">
      <c r="A81" s="21">
        <v>80.0</v>
      </c>
      <c r="B81" s="42" t="s">
        <v>300</v>
      </c>
      <c r="C81" s="16" t="str">
        <f>IFERROR(__xludf.DUMMYFUNCTION("XLOOKUP(B81,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""-"")"),"SHARVESWAR S")</f>
        <v>SHARVESWAR S</v>
      </c>
      <c r="D81" s="17" t="str">
        <f>IFERROR(__xludf.DUMMYFUNCTION("XLOOKUP(B81,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81" s="33" t="s">
        <v>115</v>
      </c>
      <c r="F81" s="14">
        <v>4.0</v>
      </c>
      <c r="G81" s="14" t="s">
        <v>252</v>
      </c>
      <c r="H81" s="14"/>
      <c r="I81" s="14" t="s">
        <v>62</v>
      </c>
      <c r="J81" s="14" t="s">
        <v>99</v>
      </c>
      <c r="K81" s="17" t="str">
        <f>IFERROR(__xludf.DUMMYFUNCTION("XLOOKUP(B81,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""-"")"),"sharveswar.ad23@bitsathy.ac.in")</f>
        <v>sharveswar.ad23@bitsathy.ac.in</v>
      </c>
      <c r="L81" s="21" t="str">
        <f>IFERROR(__xludf.DUMMYFUNCTION("XLOOKUP(B81,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""-"")"),"8667828317")</f>
        <v>8667828317</v>
      </c>
      <c r="M81" s="14" t="s">
        <v>71</v>
      </c>
      <c r="N81" s="14" t="s">
        <v>293</v>
      </c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22"/>
      <c r="AA81" s="22"/>
      <c r="AB81" s="22"/>
      <c r="AC81" s="22"/>
      <c r="AD81" s="22"/>
    </row>
    <row r="82">
      <c r="A82" s="21">
        <v>81.0</v>
      </c>
      <c r="B82" s="42" t="s">
        <v>301</v>
      </c>
      <c r="C82" s="16" t="str">
        <f>IFERROR(__xludf.DUMMYFUNCTION("XLOOKUP(B82,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""-"")"),"SOWUNDARYA R")</f>
        <v>SOWUNDARYA R</v>
      </c>
      <c r="D82" s="17" t="str">
        <f>IFERROR(__xludf.DUMMYFUNCTION("XLOOKUP(B82,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82" s="33" t="s">
        <v>115</v>
      </c>
      <c r="F82" s="14">
        <v>4.0</v>
      </c>
      <c r="G82" s="14" t="s">
        <v>252</v>
      </c>
      <c r="H82" s="14"/>
      <c r="I82" s="14" t="s">
        <v>62</v>
      </c>
      <c r="J82" s="14" t="s">
        <v>99</v>
      </c>
      <c r="K82" s="17" t="str">
        <f>IFERROR(__xludf.DUMMYFUNCTION("XLOOKUP(B82,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""-"")"),"sowundarya.cs23@bitsathy.ac.in")</f>
        <v>sowundarya.cs23@bitsathy.ac.in</v>
      </c>
      <c r="L82" s="21" t="str">
        <f>IFERROR(__xludf.DUMMYFUNCTION("XLOOKUP(B82,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""-"")"),"9360459115")</f>
        <v>9360459115</v>
      </c>
      <c r="M82" s="14" t="s">
        <v>71</v>
      </c>
      <c r="N82" s="14" t="s">
        <v>293</v>
      </c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22"/>
      <c r="AA82" s="22"/>
      <c r="AB82" s="22"/>
      <c r="AC82" s="22"/>
      <c r="AD82" s="22"/>
    </row>
    <row r="83">
      <c r="A83" s="21">
        <v>82.0</v>
      </c>
      <c r="B83" s="42" t="s">
        <v>302</v>
      </c>
      <c r="C83" s="16" t="str">
        <f>IFERROR(__xludf.DUMMYFUNCTION("XLOOKUP(B83,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""-"")"),"VISHNU A")</f>
        <v>VISHNU A</v>
      </c>
      <c r="D83" s="17" t="str">
        <f>IFERROR(__xludf.DUMMYFUNCTION("XLOOKUP(B83,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""-"")"),"ARTIFICIAL INTELLIGENCE AND DATA SCIENCE")</f>
        <v>ARTIFICIAL INTELLIGENCE AND DATA SCIENCE</v>
      </c>
      <c r="E83" s="33" t="s">
        <v>115</v>
      </c>
      <c r="F83" s="14">
        <v>4.0</v>
      </c>
      <c r="G83" s="14" t="s">
        <v>252</v>
      </c>
      <c r="H83" s="14"/>
      <c r="I83" s="14" t="s">
        <v>62</v>
      </c>
      <c r="J83" s="14" t="s">
        <v>99</v>
      </c>
      <c r="K83" s="17" t="str">
        <f>IFERROR(__xludf.DUMMYFUNCTION("XLOOKUP(B83,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""-"")"),"vishnu.ad23@bitsathy.ac.in")</f>
        <v>vishnu.ad23@bitsathy.ac.in</v>
      </c>
      <c r="L83" s="21" t="str">
        <f>IFERROR(__xludf.DUMMYFUNCTION("XLOOKUP(B83,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""-"")"),"8148522603")</f>
        <v>8148522603</v>
      </c>
      <c r="M83" s="14" t="s">
        <v>71</v>
      </c>
      <c r="N83" s="14" t="s">
        <v>293</v>
      </c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22"/>
      <c r="AA83" s="22"/>
      <c r="AB83" s="22"/>
      <c r="AC83" s="22"/>
      <c r="AD83" s="22"/>
    </row>
    <row r="84">
      <c r="A84" s="21">
        <v>83.0</v>
      </c>
      <c r="B84" s="42" t="s">
        <v>249</v>
      </c>
      <c r="C84" s="16" t="str">
        <f>IFERROR(__xludf.DUMMYFUNCTION("XLOOKUP(B84,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""-"")"),"GOWTHAM T")</f>
        <v>GOWTHAM T</v>
      </c>
      <c r="D84" s="17" t="str">
        <f>IFERROR(__xludf.DUMMYFUNCTION("XLOOKUP(B84,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""-"")"),"ELECTRICAL AND ELECTRONICS ENGINEERING")</f>
        <v>ELECTRICAL AND ELECTRONICS ENGINEERING</v>
      </c>
      <c r="E84" s="33" t="s">
        <v>137</v>
      </c>
      <c r="F84" s="14">
        <v>5.25</v>
      </c>
      <c r="G84" s="14" t="s">
        <v>59</v>
      </c>
      <c r="H84" s="14"/>
      <c r="I84" s="14" t="s">
        <v>136</v>
      </c>
      <c r="J84" s="14" t="s">
        <v>266</v>
      </c>
      <c r="K84" s="17" t="str">
        <f>IFERROR(__xludf.DUMMYFUNCTION("XLOOKUP(B84,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""-"")"),"gowtham.ee23@bitsathy.ac.in")</f>
        <v>gowtham.ee23@bitsathy.ac.in</v>
      </c>
      <c r="L84" s="21" t="str">
        <f>IFERROR(__xludf.DUMMYFUNCTION("XLOOKUP(B84,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""-"")"),"9042416640")</f>
        <v>9042416640</v>
      </c>
      <c r="M84" s="14" t="s">
        <v>71</v>
      </c>
      <c r="N84" s="14" t="s">
        <v>303</v>
      </c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22"/>
      <c r="AA84" s="22"/>
      <c r="AB84" s="22"/>
      <c r="AC84" s="22"/>
      <c r="AD84" s="22"/>
    </row>
    <row r="85">
      <c r="A85" s="21">
        <v>84.0</v>
      </c>
      <c r="B85" s="42" t="s">
        <v>304</v>
      </c>
      <c r="C85" s="16" t="str">
        <f>IFERROR(__xludf.DUMMYFUNCTION("XLOOKUP(B85,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""-"")"),"ARUN PRASATH M")</f>
        <v>ARUN PRASATH M</v>
      </c>
      <c r="D85" s="17" t="str">
        <f>IFERROR(__xludf.DUMMYFUNCTION("XLOOKUP(B85,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""-"")"),"BIOTECHNOLOGY")</f>
        <v>BIOTECHNOLOGY</v>
      </c>
      <c r="E85" s="33" t="s">
        <v>204</v>
      </c>
      <c r="F85" s="14">
        <v>3.0</v>
      </c>
      <c r="G85" s="14" t="s">
        <v>59</v>
      </c>
      <c r="H85" s="14"/>
      <c r="I85" s="14" t="s">
        <v>136</v>
      </c>
      <c r="J85" s="14" t="s">
        <v>63</v>
      </c>
      <c r="K85" s="17" t="str">
        <f>IFERROR(__xludf.DUMMYFUNCTION("XLOOKUP(B85,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""-"")"),"arunprasath.bt23@bitsathy.ac.in")</f>
        <v>arunprasath.bt23@bitsathy.ac.in</v>
      </c>
      <c r="L85" s="21" t="str">
        <f>IFERROR(__xludf.DUMMYFUNCTION("XLOOKUP(B85,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""-"")"),"9025728492")</f>
        <v>9025728492</v>
      </c>
      <c r="M85" s="14" t="s">
        <v>71</v>
      </c>
      <c r="N85" s="14" t="s">
        <v>305</v>
      </c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22"/>
      <c r="AA85" s="22"/>
      <c r="AB85" s="22"/>
      <c r="AC85" s="22"/>
      <c r="AD85" s="22"/>
    </row>
    <row r="86">
      <c r="A86" s="21">
        <v>85.0</v>
      </c>
      <c r="B86" s="42" t="s">
        <v>306</v>
      </c>
      <c r="C86" s="16" t="str">
        <f>IFERROR(__xludf.DUMMYFUNCTION("XLOOKUP(B86,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""-"")"),"KAVENA S")</f>
        <v>KAVENA S</v>
      </c>
      <c r="D86" s="17" t="str">
        <f>IFERROR(__xludf.DUMMYFUNCTION("XLOOKUP(B86,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""-"")"),"INFORMATION TECHNOLOGY")</f>
        <v>INFORMATION TECHNOLOGY</v>
      </c>
      <c r="E86" s="33" t="s">
        <v>151</v>
      </c>
      <c r="F86" s="14">
        <v>4.5</v>
      </c>
      <c r="G86" s="14" t="s">
        <v>59</v>
      </c>
      <c r="H86" s="14" t="s">
        <v>60</v>
      </c>
      <c r="I86" s="14" t="s">
        <v>62</v>
      </c>
      <c r="J86" s="14" t="s">
        <v>63</v>
      </c>
      <c r="K86" s="17" t="str">
        <f>IFERROR(__xludf.DUMMYFUNCTION("XLOOKUP(B86,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""-"")"),"kavena.it23@bitsathy.ac.in")</f>
        <v>kavena.it23@bitsathy.ac.in</v>
      </c>
      <c r="L86" s="21" t="str">
        <f>IFERROR(__xludf.DUMMYFUNCTION("XLOOKUP(B86,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""-"")"),"8610491920")</f>
        <v>8610491920</v>
      </c>
      <c r="M86" s="14" t="s">
        <v>71</v>
      </c>
      <c r="N86" s="14" t="s">
        <v>307</v>
      </c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22"/>
      <c r="AA86" s="22"/>
      <c r="AB86" s="22"/>
      <c r="AC86" s="22"/>
      <c r="AD86" s="22"/>
    </row>
    <row r="87">
      <c r="A87" s="21">
        <v>86.0</v>
      </c>
      <c r="B87" s="42" t="s">
        <v>308</v>
      </c>
      <c r="C87" s="16" t="str">
        <f>IFERROR(__xludf.DUMMYFUNCTION("XLOOKUP(B87,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""-"")"),"PARAMASIVAM  P")</f>
        <v>PARAMASIVAM  P</v>
      </c>
      <c r="D87" s="17" t="str">
        <f>IFERROR(__xludf.DUMMYFUNCTION("XLOOKUP(B87,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87" s="33" t="s">
        <v>151</v>
      </c>
      <c r="F87" s="14">
        <v>4.0</v>
      </c>
      <c r="G87" s="14" t="s">
        <v>59</v>
      </c>
      <c r="H87" s="14" t="s">
        <v>60</v>
      </c>
      <c r="I87" s="14" t="s">
        <v>62</v>
      </c>
      <c r="J87" s="14" t="s">
        <v>63</v>
      </c>
      <c r="K87" s="17" t="str">
        <f>IFERROR(__xludf.DUMMYFUNCTION("XLOOKUP(B87,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""-"")"),"paramasivam.cs23@bitsathy.ac.in")</f>
        <v>paramasivam.cs23@bitsathy.ac.in</v>
      </c>
      <c r="L87" s="21" t="str">
        <f>IFERROR(__xludf.DUMMYFUNCTION("XLOOKUP(B87,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""-"")"),"6379873392")</f>
        <v>6379873392</v>
      </c>
      <c r="M87" s="14" t="s">
        <v>71</v>
      </c>
      <c r="N87" s="14" t="s">
        <v>307</v>
      </c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22"/>
      <c r="AA87" s="22"/>
      <c r="AB87" s="22"/>
      <c r="AC87" s="22"/>
      <c r="AD87" s="22"/>
    </row>
    <row r="88">
      <c r="A88" s="21">
        <v>87.0</v>
      </c>
      <c r="B88" s="42" t="s">
        <v>309</v>
      </c>
      <c r="C88" s="16" t="str">
        <f>IFERROR(__xludf.DUMMYFUNCTION("XLOOKUP(B88,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""-"")"),"RAAGHAV K S")</f>
        <v>RAAGHAV K S</v>
      </c>
      <c r="D88" s="17" t="str">
        <f>IFERROR(__xludf.DUMMYFUNCTION("XLOOKUP(B88,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TECHNOLOGY")</f>
        <v>COMPUTER TECHNOLOGY</v>
      </c>
      <c r="E88" s="33" t="s">
        <v>151</v>
      </c>
      <c r="F88" s="14">
        <v>4.0</v>
      </c>
      <c r="G88" s="14" t="s">
        <v>59</v>
      </c>
      <c r="H88" s="14" t="s">
        <v>60</v>
      </c>
      <c r="I88" s="14" t="s">
        <v>62</v>
      </c>
      <c r="J88" s="14" t="s">
        <v>63</v>
      </c>
      <c r="K88" s="17" t="str">
        <f>IFERROR(__xludf.DUMMYFUNCTION("XLOOKUP(B88,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""-"")"),"raaghav.ct23@bitsathy.ac.in")</f>
        <v>raaghav.ct23@bitsathy.ac.in</v>
      </c>
      <c r="L88" s="21" t="str">
        <f>IFERROR(__xludf.DUMMYFUNCTION("XLOOKUP(B88,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""-"")"),"7598164466")</f>
        <v>7598164466</v>
      </c>
      <c r="M88" s="14" t="s">
        <v>71</v>
      </c>
      <c r="N88" s="14" t="s">
        <v>307</v>
      </c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22"/>
      <c r="AA88" s="22"/>
      <c r="AB88" s="22"/>
      <c r="AC88" s="22"/>
      <c r="AD88" s="22"/>
    </row>
    <row r="89">
      <c r="A89" s="21">
        <v>88.0</v>
      </c>
      <c r="B89" s="42" t="s">
        <v>310</v>
      </c>
      <c r="C89" s="16" t="str">
        <f>IFERROR(__xludf.DUMMYFUNCTION("XLOOKUP(B89,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""-"")"),"SRI DHARSAN K")</f>
        <v>SRI DHARSAN K</v>
      </c>
      <c r="D89" s="17" t="str">
        <f>IFERROR(__xludf.DUMMYFUNCTION("XLOOKUP(B89,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INSTRUMENTATION ENGINEERING")</f>
        <v>ELECTRONICS AND INSTRUMENTATION ENGINEERING</v>
      </c>
      <c r="E89" s="33" t="s">
        <v>151</v>
      </c>
      <c r="F89" s="14">
        <v>3.5</v>
      </c>
      <c r="G89" s="14" t="s">
        <v>252</v>
      </c>
      <c r="H89" s="14" t="s">
        <v>60</v>
      </c>
      <c r="I89" s="14" t="s">
        <v>62</v>
      </c>
      <c r="J89" s="14" t="s">
        <v>99</v>
      </c>
      <c r="K89" s="17" t="str">
        <f>IFERROR(__xludf.DUMMYFUNCTION("XLOOKUP(B89,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""-"")"),"sridharsan.ei23@bitsathy.ac.in")</f>
        <v>sridharsan.ei23@bitsathy.ac.in</v>
      </c>
      <c r="L89" s="21" t="str">
        <f>IFERROR(__xludf.DUMMYFUNCTION("XLOOKUP(B89,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""-"")"),"8667316946")</f>
        <v>8667316946</v>
      </c>
      <c r="M89" s="14" t="s">
        <v>71</v>
      </c>
      <c r="N89" s="14" t="s">
        <v>307</v>
      </c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22"/>
      <c r="AA89" s="22"/>
      <c r="AB89" s="22"/>
      <c r="AC89" s="22"/>
      <c r="AD89" s="22"/>
    </row>
    <row r="90">
      <c r="A90" s="21">
        <v>89.0</v>
      </c>
      <c r="B90" s="42" t="s">
        <v>311</v>
      </c>
      <c r="C90" s="16" t="str">
        <f>IFERROR(__xludf.DUMMYFUNCTION("XLOOKUP(B90,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""-"")"),"JISNU S")</f>
        <v>JISNU S</v>
      </c>
      <c r="D90" s="17" t="str">
        <f>IFERROR(__xludf.DUMMYFUNCTION("XLOOKUP(B90,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DESIGN")</f>
        <v>COMPUTER SCIENCE AND DESIGN</v>
      </c>
      <c r="E90" s="33" t="s">
        <v>103</v>
      </c>
      <c r="F90" s="14">
        <v>7.0</v>
      </c>
      <c r="G90" s="14" t="s">
        <v>59</v>
      </c>
      <c r="H90" s="14"/>
      <c r="I90" s="14" t="s">
        <v>62</v>
      </c>
      <c r="J90" s="14" t="s">
        <v>266</v>
      </c>
      <c r="K90" s="17" t="str">
        <f>IFERROR(__xludf.DUMMYFUNCTION("XLOOKUP(B90,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""-"")"),"jisnus.cd23@bitsathy.ac.in")</f>
        <v>jisnus.cd23@bitsathy.ac.in</v>
      </c>
      <c r="L90" s="21" t="str">
        <f>IFERROR(__xludf.DUMMYFUNCTION("XLOOKUP(B90,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""-"")"),"6382946227")</f>
        <v>6382946227</v>
      </c>
      <c r="M90" s="14" t="s">
        <v>71</v>
      </c>
      <c r="N90" s="14" t="s">
        <v>312</v>
      </c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22"/>
      <c r="AA90" s="22"/>
      <c r="AB90" s="22"/>
      <c r="AC90" s="22"/>
      <c r="AD90" s="22"/>
    </row>
    <row r="91">
      <c r="A91" s="21">
        <v>90.0</v>
      </c>
      <c r="B91" s="42" t="s">
        <v>313</v>
      </c>
      <c r="C91" s="16" t="str">
        <f>IFERROR(__xludf.DUMMYFUNCTION("XLOOKUP(B91,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""-"")"),"SURYA KUMAR T")</f>
        <v>SURYA KUMAR T</v>
      </c>
      <c r="D91" s="17" t="str">
        <f>IFERROR(__xludf.DUMMYFUNCTION("XLOOKUP(B91,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BUSINESS SYSTEMS")</f>
        <v>COMPUTER SCIENCE AND BUSINESS SYSTEMS</v>
      </c>
      <c r="E91" s="33" t="s">
        <v>95</v>
      </c>
      <c r="F91" s="14">
        <v>5.0</v>
      </c>
      <c r="G91" s="14" t="s">
        <v>59</v>
      </c>
      <c r="H91" s="14"/>
      <c r="I91" s="14" t="s">
        <v>62</v>
      </c>
      <c r="J91" s="14" t="s">
        <v>63</v>
      </c>
      <c r="K91" s="17" t="str">
        <f>IFERROR(__xludf.DUMMYFUNCTION("XLOOKUP(B91,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""-"")"),"suryakumar.cb23@bitsathy.ac.in")</f>
        <v>suryakumar.cb23@bitsathy.ac.in</v>
      </c>
      <c r="L91" s="21" t="str">
        <f>IFERROR(__xludf.DUMMYFUNCTION("XLOOKUP(B91,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""-"")"),"9344164833")</f>
        <v>9344164833</v>
      </c>
      <c r="M91" s="14" t="s">
        <v>71</v>
      </c>
      <c r="N91" s="14" t="s">
        <v>314</v>
      </c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22"/>
      <c r="AA91" s="22"/>
      <c r="AB91" s="22"/>
      <c r="AC91" s="22"/>
      <c r="AD91" s="22"/>
    </row>
    <row r="92">
      <c r="A92" s="21">
        <v>91.0</v>
      </c>
      <c r="B92" s="42" t="s">
        <v>315</v>
      </c>
      <c r="C92" s="16" t="str">
        <f>IFERROR(__xludf.DUMMYFUNCTION("XLOOKUP(B92,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""-"")"),"ARIVAZHAGAN B")</f>
        <v>ARIVAZHAGAN B</v>
      </c>
      <c r="D92" s="17" t="str">
        <f>IFERROR(__xludf.DUMMYFUNCTION("XLOOKUP(B92,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92" s="33" t="s">
        <v>95</v>
      </c>
      <c r="F92" s="14">
        <v>5.0</v>
      </c>
      <c r="G92" s="14" t="s">
        <v>59</v>
      </c>
      <c r="H92" s="14"/>
      <c r="I92" s="14" t="s">
        <v>62</v>
      </c>
      <c r="J92" s="14" t="s">
        <v>63</v>
      </c>
      <c r="K92" s="17" t="str">
        <f>IFERROR(__xludf.DUMMYFUNCTION("XLOOKUP(B92,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""-"")"),"arivazhagan.cs23@bitsathy.ac.in")</f>
        <v>arivazhagan.cs23@bitsathy.ac.in</v>
      </c>
      <c r="L92" s="21" t="str">
        <f>IFERROR(__xludf.DUMMYFUNCTION("XLOOKUP(B92,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""-"")"),"7806870589")</f>
        <v>7806870589</v>
      </c>
      <c r="M92" s="14" t="s">
        <v>71</v>
      </c>
      <c r="N92" s="14" t="s">
        <v>314</v>
      </c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22"/>
      <c r="AA92" s="22"/>
      <c r="AB92" s="22"/>
      <c r="AC92" s="22"/>
      <c r="AD92" s="22"/>
    </row>
    <row r="93">
      <c r="A93" s="21">
        <v>92.0</v>
      </c>
      <c r="B93" s="42" t="s">
        <v>316</v>
      </c>
      <c r="C93" s="16" t="str">
        <f>IFERROR(__xludf.DUMMYFUNCTION("XLOOKUP(B93,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""-"")"),"MONIKA R")</f>
        <v>MONIKA R</v>
      </c>
      <c r="D93" s="17" t="str">
        <f>IFERROR(__xludf.DUMMYFUNCTION("XLOOKUP(B93,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93" s="33" t="s">
        <v>95</v>
      </c>
      <c r="F93" s="14">
        <v>5.0</v>
      </c>
      <c r="G93" s="14" t="s">
        <v>59</v>
      </c>
      <c r="H93" s="14"/>
      <c r="I93" s="14" t="s">
        <v>62</v>
      </c>
      <c r="J93" s="14" t="s">
        <v>63</v>
      </c>
      <c r="K93" s="17" t="str">
        <f>IFERROR(__xludf.DUMMYFUNCTION("XLOOKUP(B93,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""-"")"),"monika.cs23@bitsathy.ac.in")</f>
        <v>monika.cs23@bitsathy.ac.in</v>
      </c>
      <c r="L93" s="21" t="str">
        <f>IFERROR(__xludf.DUMMYFUNCTION("XLOOKUP(B93,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""-"")"),"9791331762")</f>
        <v>9791331762</v>
      </c>
      <c r="M93" s="14" t="s">
        <v>71</v>
      </c>
      <c r="N93" s="14" t="s">
        <v>314</v>
      </c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22"/>
      <c r="AA93" s="22"/>
      <c r="AB93" s="22"/>
      <c r="AC93" s="22"/>
      <c r="AD93" s="22"/>
    </row>
    <row r="94">
      <c r="A94" s="21">
        <v>93.0</v>
      </c>
      <c r="B94" s="43" t="s">
        <v>317</v>
      </c>
      <c r="C94" s="16" t="str">
        <f>IFERROR(__xludf.DUMMYFUNCTION("XLOOKUP(B94,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""-"")"),"MAYL KUMARAN P S")</f>
        <v>MAYL KUMARAN P S</v>
      </c>
      <c r="D94" s="17" t="str">
        <f>IFERROR(__xludf.DUMMYFUNCTION("XLOOKUP(B94,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""-"")"),"MECHATRONICS ENGINEERING")</f>
        <v>MECHATRONICS ENGINEERING</v>
      </c>
      <c r="E94" s="41" t="s">
        <v>192</v>
      </c>
      <c r="F94" s="14">
        <v>3.6</v>
      </c>
      <c r="G94" s="14" t="s">
        <v>59</v>
      </c>
      <c r="H94" s="14"/>
      <c r="I94" s="14" t="s">
        <v>136</v>
      </c>
      <c r="J94" s="14" t="s">
        <v>63</v>
      </c>
      <c r="K94" s="17" t="str">
        <f>IFERROR(__xludf.DUMMYFUNCTION("XLOOKUP(B94,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""-"")"),"maylkumaran.mz23@bitsathy.ac.in")</f>
        <v>maylkumaran.mz23@bitsathy.ac.in</v>
      </c>
      <c r="L94" s="21" t="str">
        <f>IFERROR(__xludf.DUMMYFUNCTION("XLOOKUP(B94,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""-"")"),"9345631566")</f>
        <v>9345631566</v>
      </c>
      <c r="M94" s="14" t="s">
        <v>71</v>
      </c>
      <c r="N94" s="14" t="s">
        <v>314</v>
      </c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22"/>
      <c r="AA94" s="22"/>
      <c r="AB94" s="22"/>
      <c r="AC94" s="22"/>
      <c r="AD94" s="22"/>
    </row>
    <row r="95">
      <c r="A95" s="21">
        <v>94.0</v>
      </c>
      <c r="B95" s="44" t="s">
        <v>318</v>
      </c>
      <c r="C95" s="16" t="str">
        <f>IFERROR(__xludf.DUMMYFUNCTION("XLOOKUP(B95,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""-"")"),"KISHORE KUMAAR S R")</f>
        <v>KISHORE KUMAAR S R</v>
      </c>
      <c r="D95" s="17" t="str">
        <f>IFERROR(__xludf.DUMMYFUNCTION("XLOOKUP(B95,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95" s="41" t="s">
        <v>96</v>
      </c>
      <c r="F95" s="14">
        <v>10.0</v>
      </c>
      <c r="G95" s="14" t="s">
        <v>59</v>
      </c>
      <c r="H95" s="14"/>
      <c r="I95" s="14" t="s">
        <v>62</v>
      </c>
      <c r="J95" s="14" t="s">
        <v>63</v>
      </c>
      <c r="K95" s="17" t="str">
        <f>IFERROR(__xludf.DUMMYFUNCTION("XLOOKUP(B95,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""-"")"),"kishorekumaar.cs23@bitsathy.ac.in")</f>
        <v>kishorekumaar.cs23@bitsathy.ac.in</v>
      </c>
      <c r="L95" s="21" t="str">
        <f>IFERROR(__xludf.DUMMYFUNCTION("XLOOKUP(B95,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""-"")"),"9600535257")</f>
        <v>9600535257</v>
      </c>
      <c r="M95" s="14" t="s">
        <v>71</v>
      </c>
      <c r="N95" s="14" t="s">
        <v>319</v>
      </c>
      <c r="O95" s="34"/>
      <c r="P95" s="34"/>
      <c r="Q95" s="34"/>
      <c r="R95" s="34"/>
      <c r="S95" s="34"/>
      <c r="T95" s="34"/>
      <c r="U95" s="34"/>
      <c r="V95" s="34"/>
      <c r="W95" s="34"/>
      <c r="X95" s="45" t="s">
        <v>320</v>
      </c>
      <c r="Y95" s="34"/>
      <c r="Z95" s="22"/>
      <c r="AA95" s="22"/>
      <c r="AB95" s="22"/>
      <c r="AC95" s="22"/>
      <c r="AD95" s="22"/>
    </row>
    <row r="96">
      <c r="A96" s="21">
        <v>95.0</v>
      </c>
      <c r="B96" s="44" t="s">
        <v>321</v>
      </c>
      <c r="C96" s="16" t="str">
        <f>IFERROR(__xludf.DUMMYFUNCTION("XLOOKUP(B96,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""-"")"),"SIVABALAN P")</f>
        <v>SIVABALAN P</v>
      </c>
      <c r="D96" s="17" t="str">
        <f>IFERROR(__xludf.DUMMYFUNCTION("XLOOKUP(B96,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96" s="41" t="s">
        <v>96</v>
      </c>
      <c r="F96" s="14">
        <v>10.0</v>
      </c>
      <c r="G96" s="14" t="s">
        <v>59</v>
      </c>
      <c r="H96" s="14"/>
      <c r="I96" s="14" t="s">
        <v>62</v>
      </c>
      <c r="J96" s="14" t="s">
        <v>63</v>
      </c>
      <c r="K96" s="17" t="str">
        <f>IFERROR(__xludf.DUMMYFUNCTION("XLOOKUP(B96,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""-"")"),"sivabalan.cs23@bitsathy.ac.in")</f>
        <v>sivabalan.cs23@bitsathy.ac.in</v>
      </c>
      <c r="L96" s="21" t="str">
        <f>IFERROR(__xludf.DUMMYFUNCTION("XLOOKUP(B96,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""-"")"),"9345473169")</f>
        <v>9345473169</v>
      </c>
      <c r="M96" s="14" t="s">
        <v>71</v>
      </c>
      <c r="N96" s="14" t="s">
        <v>319</v>
      </c>
      <c r="O96" s="34"/>
      <c r="P96" s="34"/>
      <c r="Q96" s="34"/>
      <c r="R96" s="34"/>
      <c r="S96" s="34"/>
      <c r="T96" s="34"/>
      <c r="U96" s="34"/>
      <c r="V96" s="34"/>
      <c r="W96" s="34"/>
      <c r="X96" s="45" t="s">
        <v>322</v>
      </c>
      <c r="Y96" s="34"/>
      <c r="Z96" s="22"/>
      <c r="AA96" s="22"/>
      <c r="AB96" s="22"/>
      <c r="AC96" s="22"/>
      <c r="AD96" s="22"/>
    </row>
    <row r="97">
      <c r="A97" s="21">
        <v>96.0</v>
      </c>
      <c r="B97" s="44" t="s">
        <v>323</v>
      </c>
      <c r="C97" s="16" t="str">
        <f>IFERROR(__xludf.DUMMYFUNCTION("XLOOKUP(B97,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""-"")"),"KABIL M")</f>
        <v>KABIL M</v>
      </c>
      <c r="D97" s="17" t="str">
        <f>IFERROR(__xludf.DUMMYFUNCTION("XLOOKUP(B97,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""-"")"),"ELECTRONICS AND COMMUNICATION ENGINEERING")</f>
        <v>ELECTRONICS AND COMMUNICATION ENGINEERING</v>
      </c>
      <c r="E97" s="33" t="s">
        <v>92</v>
      </c>
      <c r="F97" s="14">
        <v>5.0</v>
      </c>
      <c r="G97" s="14" t="s">
        <v>59</v>
      </c>
      <c r="H97" s="14"/>
      <c r="I97" s="14" t="s">
        <v>62</v>
      </c>
      <c r="J97" s="14" t="s">
        <v>63</v>
      </c>
      <c r="K97" s="17" t="str">
        <f>IFERROR(__xludf.DUMMYFUNCTION("XLOOKUP(B97,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""-"")"),"kabil.ec23@bitsathy.ac.in")</f>
        <v>kabil.ec23@bitsathy.ac.in</v>
      </c>
      <c r="L97" s="21" t="str">
        <f>IFERROR(__xludf.DUMMYFUNCTION("XLOOKUP(B97,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""-"")"),"9344878410")</f>
        <v>9344878410</v>
      </c>
      <c r="M97" s="14" t="s">
        <v>71</v>
      </c>
      <c r="N97" s="14" t="s">
        <v>324</v>
      </c>
      <c r="O97" s="34"/>
      <c r="P97" s="34"/>
      <c r="Q97" s="34"/>
      <c r="R97" s="34"/>
      <c r="S97" s="34"/>
      <c r="T97" s="34"/>
      <c r="U97" s="34"/>
      <c r="V97" s="34"/>
      <c r="W97" s="34"/>
      <c r="X97" s="35" t="s">
        <v>325</v>
      </c>
      <c r="Y97" s="34"/>
      <c r="Z97" s="22"/>
      <c r="AA97" s="22"/>
      <c r="AB97" s="22"/>
      <c r="AC97" s="22"/>
      <c r="AD97" s="22"/>
    </row>
    <row r="98">
      <c r="A98" s="21">
        <v>97.0</v>
      </c>
      <c r="B98" s="44" t="s">
        <v>326</v>
      </c>
      <c r="C98" s="16" t="str">
        <f>IFERROR(__xludf.DUMMYFUNCTION("XLOOKUP(B98,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""-"")"),"DIVYAPRAKASH R")</f>
        <v>DIVYAPRAKASH R</v>
      </c>
      <c r="D98" s="17" t="str">
        <f>IFERROR(__xludf.DUMMYFUNCTION("XLOOKUP(B98,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""-"")"),"COMPUTER SCIENCE AND ENGINEERING")</f>
        <v>COMPUTER SCIENCE AND ENGINEERING</v>
      </c>
      <c r="E98" s="33" t="s">
        <v>92</v>
      </c>
      <c r="F98" s="14">
        <v>4.5</v>
      </c>
      <c r="G98" s="14" t="s">
        <v>59</v>
      </c>
      <c r="H98" s="14"/>
      <c r="I98" s="14" t="s">
        <v>62</v>
      </c>
      <c r="J98" s="14" t="s">
        <v>63</v>
      </c>
      <c r="K98" s="17" t="str">
        <f>IFERROR(__xludf.DUMMYFUNCTION("XLOOKUP(B98,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""-"")"),"divyaprakash.cs23@bitsathy.ac.in")</f>
        <v>divyaprakash.cs23@bitsathy.ac.in</v>
      </c>
      <c r="L98" s="21" t="str">
        <f>IFERROR(__xludf.DUMMYFUNCTION("XLOOKUP(B98,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""-"")"),"6381856308")</f>
        <v>6381856308</v>
      </c>
      <c r="M98" s="14" t="s">
        <v>71</v>
      </c>
      <c r="N98" s="14" t="s">
        <v>324</v>
      </c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22"/>
      <c r="AA98" s="22"/>
      <c r="AB98" s="22"/>
      <c r="AC98" s="22"/>
      <c r="AD98" s="22"/>
    </row>
    <row r="99">
      <c r="A99" s="21">
        <v>98.0</v>
      </c>
      <c r="B99" s="46" t="s">
        <v>327</v>
      </c>
      <c r="C99" s="16" t="str">
        <f>IFERROR(__xludf.DUMMYFUNCTION("XLOOKUP(B99, IMPORTRANGE(""https://docs.google.com/spreadsheets/d/1UUC6R1hVFPCYDEbJMIXaIBW-jeQYiKTRixeKD_tUHGw/edit?gid=0#gid=0"", ""List!B:B""), IMPORTRANGE(""https://docs.google.com/spreadsheets/d/1UUC6R1hVFPCYDEbJMIXaIBW-jeQYiKTRixeKD_tUHGw/edit?gid=0#"&amp;"gid=0"", ""List!C:C""), ""-"")"),"SAHUL HAMEED M")</f>
        <v>SAHUL HAMEED M</v>
      </c>
      <c r="D99" s="17" t="str">
        <f>IFERROR(__xludf.DUMMYFUNCTION("XLOOKUP(B99, IMPORTRANGE(""https://docs.google.com/spreadsheets/d/1UUC6R1hVFPCYDEbJMIXaIBW-jeQYiKTRixeKD_tUHGw/edit?gid=0#gid=0"", ""List!B:B""), IMPORTRANGE(""https://docs.google.com/spreadsheets/d/1UUC6R1hVFPCYDEbJMIXaIBW-jeQYiKTRixeKD_tUHGw/edit?gid=0#"&amp;"gid=0"", ""List!D:D""), ""-"")"),"CIVIL ENGINEERING")</f>
        <v>CIVIL ENGINEERING</v>
      </c>
      <c r="E99" s="33" t="s">
        <v>176</v>
      </c>
      <c r="F99" s="14">
        <v>3.0</v>
      </c>
      <c r="G99" s="14" t="s">
        <v>252</v>
      </c>
      <c r="H99" s="14"/>
      <c r="I99" s="14" t="s">
        <v>136</v>
      </c>
      <c r="J99" s="14" t="s">
        <v>99</v>
      </c>
      <c r="K99" s="17" t="str">
        <f>IFERROR(__xludf.DUMMYFUNCTION("XLOOKUP(B99,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""List!E:E""), ""-"")"),"sahulhameed.ce23@bitsathy.ac.in")</f>
        <v>sahulhameed.ce23@bitsathy.ac.in</v>
      </c>
      <c r="L99" s="21" t="str">
        <f>IFERROR(__xludf.DUMMYFUNCTION("XLOOKUP(B99, IMPORTRANGE(""https://docs.google.com/spreadsheets/d/1GpX_8hJc54hBz8KrakqcWdiXAS6pjY1zWE_9fWBXnEM/edit?gid=1460649486#gid=1460649486"", ""List!B:B""), IMPORTRANGE(""https://docs.google.com/spreadsheets/d/1GpX_8hJc54hBz8KrakqcWdiXAS6pjY1zWE_9f"&amp;"WBXnEM/edit?gid=1460649486#gid=1460649486"", ""List!G:G""), ""-"")"),"9344022645")</f>
        <v>9344022645</v>
      </c>
      <c r="M99" s="14" t="s">
        <v>71</v>
      </c>
      <c r="N99" s="14" t="s">
        <v>328</v>
      </c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22"/>
      <c r="AA99" s="22"/>
      <c r="AB99" s="22"/>
      <c r="AC99" s="22"/>
      <c r="AD99" s="22"/>
    </row>
    <row r="100">
      <c r="A100" s="21">
        <v>99.0</v>
      </c>
      <c r="B100" s="46" t="s">
        <v>329</v>
      </c>
      <c r="C100" s="16" t="str">
        <f>IFERROR(__xludf.DUMMYFUNCTION("XLOOKUP(B100,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""-"")"),"ARUNJOTHI  T")</f>
        <v>ARUNJOTHI  T</v>
      </c>
      <c r="D100" s="17" t="str">
        <f>IFERROR(__xludf.DUMMYFUNCTION("XLOOKUP(B100,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100" s="33" t="s">
        <v>176</v>
      </c>
      <c r="F100" s="14">
        <v>3.0</v>
      </c>
      <c r="G100" s="14" t="s">
        <v>252</v>
      </c>
      <c r="H100" s="14"/>
      <c r="I100" s="14" t="s">
        <v>136</v>
      </c>
      <c r="J100" s="14" t="s">
        <v>99</v>
      </c>
      <c r="K100" s="17" t="str">
        <f>IFERROR(__xludf.DUMMYFUNCTION("XLOOKUP(B100,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""-"")"),"arunjothi.ce23@bitsathy.ac.in")</f>
        <v>arunjothi.ce23@bitsathy.ac.in</v>
      </c>
      <c r="L100" s="21" t="str">
        <f>IFERROR(__xludf.DUMMYFUNCTION("XLOOKUP(B100,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""-"")"),"7871860145")</f>
        <v>7871860145</v>
      </c>
      <c r="M100" s="14" t="s">
        <v>71</v>
      </c>
      <c r="N100" s="14" t="s">
        <v>328</v>
      </c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22"/>
      <c r="AA100" s="22"/>
      <c r="AB100" s="22"/>
      <c r="AC100" s="22"/>
      <c r="AD100" s="22"/>
    </row>
    <row r="101">
      <c r="A101" s="21">
        <v>100.0</v>
      </c>
      <c r="B101" s="46" t="s">
        <v>330</v>
      </c>
      <c r="C101" s="16" t="str">
        <f>IFERROR(__xludf.DUMMYFUNCTION("XLOOKUP(B101,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""-"")"),"MADHUMITHAN  K")</f>
        <v>MADHUMITHAN  K</v>
      </c>
      <c r="D101" s="17" t="str">
        <f>IFERROR(__xludf.DUMMYFUNCTION("XLOOKUP(B101,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101" s="33" t="s">
        <v>176</v>
      </c>
      <c r="F101" s="14">
        <v>3.0</v>
      </c>
      <c r="G101" s="14" t="s">
        <v>59</v>
      </c>
      <c r="H101" s="14" t="s">
        <v>60</v>
      </c>
      <c r="I101" s="14" t="s">
        <v>136</v>
      </c>
      <c r="J101" s="14" t="s">
        <v>63</v>
      </c>
      <c r="K101" s="17" t="str">
        <f>IFERROR(__xludf.DUMMYFUNCTION("XLOOKUP(B101,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""-"")"),"madhumithan.ce23@bitsathy.ac.in")</f>
        <v>madhumithan.ce23@bitsathy.ac.in</v>
      </c>
      <c r="L101" s="21" t="str">
        <f>IFERROR(__xludf.DUMMYFUNCTION("XLOOKUP(B101,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""-"")"),"6379582523")</f>
        <v>6379582523</v>
      </c>
      <c r="M101" s="14" t="s">
        <v>71</v>
      </c>
      <c r="N101" s="14" t="s">
        <v>328</v>
      </c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22"/>
      <c r="AA101" s="22"/>
      <c r="AB101" s="22"/>
      <c r="AC101" s="22"/>
      <c r="AD101" s="22"/>
    </row>
    <row r="102">
      <c r="A102" s="21">
        <v>101.0</v>
      </c>
      <c r="B102" s="46" t="s">
        <v>331</v>
      </c>
      <c r="C102" s="16" t="str">
        <f>IFERROR(__xludf.DUMMYFUNCTION("XLOOKUP(B102,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""-"")"),"DHARANISELVAN S")</f>
        <v>DHARANISELVAN S</v>
      </c>
      <c r="D102" s="17" t="str">
        <f>IFERROR(__xludf.DUMMYFUNCTION("XLOOKUP(B102,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102" s="33" t="s">
        <v>176</v>
      </c>
      <c r="F102" s="14">
        <v>3.0</v>
      </c>
      <c r="G102" s="14" t="s">
        <v>59</v>
      </c>
      <c r="H102" s="14" t="s">
        <v>60</v>
      </c>
      <c r="I102" s="14" t="s">
        <v>136</v>
      </c>
      <c r="J102" s="14" t="s">
        <v>63</v>
      </c>
      <c r="K102" s="17" t="str">
        <f>IFERROR(__xludf.DUMMYFUNCTION("XLOOKUP(B102,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""-"")"),"dharaniselvan.ce23@bitsathy.ac.in")</f>
        <v>dharaniselvan.ce23@bitsathy.ac.in</v>
      </c>
      <c r="L102" s="21" t="str">
        <f>IFERROR(__xludf.DUMMYFUNCTION("XLOOKUP(B102,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""-"")"),"9344175071")</f>
        <v>9344175071</v>
      </c>
      <c r="M102" s="14" t="s">
        <v>71</v>
      </c>
      <c r="N102" s="14" t="s">
        <v>328</v>
      </c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22"/>
      <c r="AA102" s="22"/>
      <c r="AB102" s="22"/>
      <c r="AC102" s="22"/>
      <c r="AD102" s="22"/>
    </row>
    <row r="103">
      <c r="A103" s="21">
        <v>102.0</v>
      </c>
      <c r="B103" s="46" t="s">
        <v>332</v>
      </c>
      <c r="C103" s="16" t="str">
        <f>IFERROR(__xludf.DUMMYFUNCTION("XLOOKUP(B103,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""-"")"),"SANTHOSH RAJ N")</f>
        <v>SANTHOSH RAJ N</v>
      </c>
      <c r="D103" s="17" t="str">
        <f>IFERROR(__xludf.DUMMYFUNCTION("XLOOKUP(B103,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103" s="33" t="s">
        <v>176</v>
      </c>
      <c r="F103" s="14">
        <v>3.0</v>
      </c>
      <c r="G103" s="14" t="s">
        <v>59</v>
      </c>
      <c r="H103" s="14" t="s">
        <v>60</v>
      </c>
      <c r="I103" s="14" t="s">
        <v>136</v>
      </c>
      <c r="J103" s="14" t="s">
        <v>63</v>
      </c>
      <c r="K103" s="17" t="str">
        <f>IFERROR(__xludf.DUMMYFUNCTION("XLOOKUP(B103,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""-"")"),"santhoshraj.ce23@bitsathy.ac.in")</f>
        <v>santhoshraj.ce23@bitsathy.ac.in</v>
      </c>
      <c r="L103" s="21" t="str">
        <f>IFERROR(__xludf.DUMMYFUNCTION("XLOOKUP(B103,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""-"")"),"7092632234")</f>
        <v>7092632234</v>
      </c>
      <c r="M103" s="14" t="s">
        <v>71</v>
      </c>
      <c r="N103" s="14" t="s">
        <v>328</v>
      </c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22"/>
      <c r="AA103" s="22"/>
      <c r="AB103" s="22"/>
      <c r="AC103" s="22"/>
      <c r="AD103" s="22"/>
    </row>
    <row r="104">
      <c r="A104" s="21">
        <v>103.0</v>
      </c>
      <c r="B104" s="46" t="s">
        <v>333</v>
      </c>
      <c r="C104" s="16" t="str">
        <f>IFERROR(__xludf.DUMMYFUNCTION("XLOOKUP(B104,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""-"")"),"VARSAVARNIGA N M")</f>
        <v>VARSAVARNIGA N M</v>
      </c>
      <c r="D104" s="17" t="str">
        <f>IFERROR(__xludf.DUMMYFUNCTION("XLOOKUP(B104,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104" s="33" t="s">
        <v>126</v>
      </c>
      <c r="F104" s="14">
        <v>6.0</v>
      </c>
      <c r="G104" s="14" t="s">
        <v>59</v>
      </c>
      <c r="H104" s="14" t="s">
        <v>60</v>
      </c>
      <c r="I104" s="14" t="s">
        <v>62</v>
      </c>
      <c r="J104" s="14" t="s">
        <v>63</v>
      </c>
      <c r="K104" s="17" t="str">
        <f>IFERROR(__xludf.DUMMYFUNCTION("XLOOKUP(B104,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""-"")"),"varsavarniga.al23@bitsathy.ac.in")</f>
        <v>varsavarniga.al23@bitsathy.ac.in</v>
      </c>
      <c r="L104" s="21" t="str">
        <f>IFERROR(__xludf.DUMMYFUNCTION("XLOOKUP(B104,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""-"")"),"8989641010")</f>
        <v>8989641010</v>
      </c>
      <c r="M104" s="14" t="s">
        <v>71</v>
      </c>
      <c r="N104" s="14" t="s">
        <v>334</v>
      </c>
      <c r="O104" s="34"/>
      <c r="P104" s="34"/>
      <c r="Q104" s="34"/>
      <c r="R104" s="34"/>
      <c r="S104" s="34"/>
      <c r="T104" s="34"/>
      <c r="U104" s="34"/>
      <c r="V104" s="35" t="s">
        <v>335</v>
      </c>
      <c r="W104" s="36"/>
      <c r="X104" s="36"/>
      <c r="Y104" s="34"/>
      <c r="Z104" s="22"/>
      <c r="AA104" s="22"/>
      <c r="AB104" s="22"/>
      <c r="AC104" s="22"/>
      <c r="AD104" s="22"/>
    </row>
    <row r="105">
      <c r="A105" s="21">
        <v>104.0</v>
      </c>
      <c r="B105" s="46" t="s">
        <v>336</v>
      </c>
      <c r="C105" s="16" t="str">
        <f>IFERROR(__xludf.DUMMYFUNCTION("XLOOKUP(B105,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""-"")"),"ABHISHEK R")</f>
        <v>ABHISHEK R</v>
      </c>
      <c r="D105" s="17" t="str">
        <f>IFERROR(__xludf.DUMMYFUNCTION("XLOOKUP(B105,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105" s="33" t="s">
        <v>126</v>
      </c>
      <c r="F105" s="14">
        <v>6.0</v>
      </c>
      <c r="G105" s="14" t="s">
        <v>59</v>
      </c>
      <c r="H105" s="14" t="s">
        <v>60</v>
      </c>
      <c r="I105" s="14" t="s">
        <v>62</v>
      </c>
      <c r="J105" s="14" t="s">
        <v>63</v>
      </c>
      <c r="K105" s="17" t="str">
        <f>IFERROR(__xludf.DUMMYFUNCTION("XLOOKUP(B105,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""-"")"),"abhishek.cd23@bitsathy.ac.in")</f>
        <v>abhishek.cd23@bitsathy.ac.in</v>
      </c>
      <c r="L105" s="21" t="str">
        <f>IFERROR(__xludf.DUMMYFUNCTION("XLOOKUP(B105,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""-"")"),"6353406625")</f>
        <v>6353406625</v>
      </c>
      <c r="M105" s="14" t="s">
        <v>71</v>
      </c>
      <c r="N105" s="14" t="s">
        <v>334</v>
      </c>
      <c r="O105" s="34"/>
      <c r="P105" s="34"/>
      <c r="Q105" s="34"/>
      <c r="R105" s="34"/>
      <c r="S105" s="34"/>
      <c r="T105" s="34"/>
      <c r="U105" s="34"/>
      <c r="V105" s="35" t="s">
        <v>337</v>
      </c>
      <c r="W105" s="36"/>
      <c r="X105" s="36"/>
      <c r="Y105" s="34"/>
      <c r="Z105" s="22"/>
      <c r="AA105" s="22"/>
      <c r="AB105" s="22"/>
      <c r="AC105" s="22"/>
      <c r="AD105" s="22"/>
    </row>
    <row r="106">
      <c r="A106" s="21">
        <v>105.0</v>
      </c>
      <c r="B106" s="44" t="s">
        <v>338</v>
      </c>
      <c r="C106" s="16" t="str">
        <f>IFERROR(__xludf.DUMMYFUNCTION("XLOOKUP(B106,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RAGUL A A")</f>
        <v>SRI RAGUL A A</v>
      </c>
      <c r="D106" s="17" t="str">
        <f>IFERROR(__xludf.DUMMYFUNCTION("XLOOKUP(B106,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106" s="33" t="s">
        <v>165</v>
      </c>
      <c r="F106" s="14">
        <v>4.5</v>
      </c>
      <c r="G106" s="14" t="s">
        <v>59</v>
      </c>
      <c r="H106" s="14" t="s">
        <v>60</v>
      </c>
      <c r="I106" s="14" t="s">
        <v>62</v>
      </c>
      <c r="J106" s="14" t="s">
        <v>63</v>
      </c>
      <c r="K106" s="17" t="str">
        <f>IFERROR(__xludf.DUMMYFUNCTION("XLOOKUP(B106,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""-"")"),"sriragul.ec23@bitsathy.ac.in")</f>
        <v>sriragul.ec23@bitsathy.ac.in</v>
      </c>
      <c r="L106" s="21" t="str">
        <f>IFERROR(__xludf.DUMMYFUNCTION("XLOOKUP(B106,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""-"")"),"6382099700")</f>
        <v>6382099700</v>
      </c>
      <c r="M106" s="14" t="s">
        <v>71</v>
      </c>
      <c r="N106" s="14" t="s">
        <v>339</v>
      </c>
      <c r="O106" s="36" t="s">
        <v>340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22"/>
      <c r="AA106" s="22"/>
      <c r="AB106" s="22"/>
      <c r="AC106" s="22"/>
      <c r="AD106" s="22"/>
    </row>
    <row r="107">
      <c r="A107" s="21">
        <v>106.0</v>
      </c>
      <c r="B107" s="44" t="s">
        <v>341</v>
      </c>
      <c r="C107" s="16" t="str">
        <f>IFERROR(__xludf.DUMMYFUNCTION("XLOOKUP(B107,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""-"")"),"DHARSHAN S")</f>
        <v>DHARSHAN S</v>
      </c>
      <c r="D107" s="17" t="str">
        <f>IFERROR(__xludf.DUMMYFUNCTION("XLOOKUP(B107,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07" s="33" t="s">
        <v>165</v>
      </c>
      <c r="F107" s="14">
        <v>4.5</v>
      </c>
      <c r="G107" s="14" t="s">
        <v>59</v>
      </c>
      <c r="H107" s="14" t="s">
        <v>60</v>
      </c>
      <c r="I107" s="14" t="s">
        <v>62</v>
      </c>
      <c r="J107" s="14" t="s">
        <v>63</v>
      </c>
      <c r="K107" s="17" t="str">
        <f>IFERROR(__xludf.DUMMYFUNCTION("XLOOKUP(B107,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""-"")"),"dharshansubramanian.cs23@bitsathy.ac.in")</f>
        <v>dharshansubramanian.cs23@bitsathy.ac.in</v>
      </c>
      <c r="L107" s="21" t="str">
        <f>IFERROR(__xludf.DUMMYFUNCTION("XLOOKUP(B107,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""-"")"),"9080155375")</f>
        <v>9080155375</v>
      </c>
      <c r="M107" s="14" t="s">
        <v>71</v>
      </c>
      <c r="N107" s="14" t="s">
        <v>339</v>
      </c>
      <c r="O107" s="36" t="s">
        <v>340</v>
      </c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22"/>
      <c r="AA107" s="22"/>
      <c r="AB107" s="22"/>
      <c r="AC107" s="22"/>
      <c r="AD107" s="22"/>
    </row>
    <row r="108">
      <c r="A108" s="21">
        <v>107.0</v>
      </c>
      <c r="B108" s="44" t="s">
        <v>342</v>
      </c>
      <c r="C108" s="16" t="str">
        <f>IFERROR(__xludf.DUMMYFUNCTION("XLOOKUP(B108,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""-"")"),"SANUSHA S")</f>
        <v>SANUSHA S</v>
      </c>
      <c r="D108" s="17" t="str">
        <f>IFERROR(__xludf.DUMMYFUNCTION("XLOOKUP(B108,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08" s="33" t="s">
        <v>165</v>
      </c>
      <c r="F108" s="14">
        <v>4.5</v>
      </c>
      <c r="G108" s="14" t="s">
        <v>59</v>
      </c>
      <c r="H108" s="14" t="s">
        <v>60</v>
      </c>
      <c r="I108" s="14" t="s">
        <v>62</v>
      </c>
      <c r="J108" s="14" t="s">
        <v>63</v>
      </c>
      <c r="K108" s="17" t="str">
        <f>IFERROR(__xludf.DUMMYFUNCTION("XLOOKUP(B108,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""-"")"),"sanusha.ad23@bitsathy.ac.in")</f>
        <v>sanusha.ad23@bitsathy.ac.in</v>
      </c>
      <c r="L108" s="21" t="str">
        <f>IFERROR(__xludf.DUMMYFUNCTION("XLOOKUP(B108,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""-"")"),"8925789879")</f>
        <v>8925789879</v>
      </c>
      <c r="M108" s="14" t="s">
        <v>71</v>
      </c>
      <c r="N108" s="14" t="s">
        <v>339</v>
      </c>
      <c r="O108" s="36" t="s">
        <v>340</v>
      </c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22"/>
      <c r="AA108" s="22"/>
      <c r="AB108" s="22"/>
      <c r="AC108" s="22"/>
      <c r="AD108" s="22"/>
    </row>
    <row r="109">
      <c r="A109" s="21">
        <v>108.0</v>
      </c>
      <c r="B109" s="44" t="s">
        <v>343</v>
      </c>
      <c r="C109" s="16" t="str">
        <f>IFERROR(__xludf.DUMMYFUNCTION("XLOOKUP(B109,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""-"")"),"RAJKUMAR A")</f>
        <v>RAJKUMAR A</v>
      </c>
      <c r="D109" s="17" t="str">
        <f>IFERROR(__xludf.DUMMYFUNCTION("XLOOKUP(B109,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09" s="33" t="s">
        <v>165</v>
      </c>
      <c r="F109" s="14">
        <v>4.5</v>
      </c>
      <c r="G109" s="14" t="s">
        <v>59</v>
      </c>
      <c r="H109" s="14" t="s">
        <v>60</v>
      </c>
      <c r="I109" s="14" t="s">
        <v>62</v>
      </c>
      <c r="J109" s="14" t="s">
        <v>63</v>
      </c>
      <c r="K109" s="17" t="str">
        <f>IFERROR(__xludf.DUMMYFUNCTION("XLOOKUP(B109,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""-"")"),"rajkumar.cs23@bitsathy.ac.in")</f>
        <v>rajkumar.cs23@bitsathy.ac.in</v>
      </c>
      <c r="L109" s="21" t="str">
        <f>IFERROR(__xludf.DUMMYFUNCTION("XLOOKUP(B109,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""-"")"),"6380532229")</f>
        <v>6380532229</v>
      </c>
      <c r="M109" s="14" t="s">
        <v>71</v>
      </c>
      <c r="N109" s="14" t="s">
        <v>339</v>
      </c>
      <c r="O109" s="36" t="s">
        <v>340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22"/>
      <c r="AA109" s="22"/>
      <c r="AB109" s="22"/>
      <c r="AC109" s="22"/>
      <c r="AD109" s="22"/>
    </row>
    <row r="110">
      <c r="A110" s="21">
        <v>109.0</v>
      </c>
      <c r="B110" s="44" t="s">
        <v>344</v>
      </c>
      <c r="C110" s="16" t="str">
        <f>IFERROR(__xludf.DUMMYFUNCTION("XLOOKUP(B110,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""-"")"),"VIMAL V")</f>
        <v>VIMAL V</v>
      </c>
      <c r="D110" s="17" t="str">
        <f>IFERROR(__xludf.DUMMYFUNCTION("XLOOKUP(B110,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110" s="33" t="s">
        <v>165</v>
      </c>
      <c r="F110" s="14">
        <v>4.5</v>
      </c>
      <c r="G110" s="14" t="s">
        <v>59</v>
      </c>
      <c r="H110" s="14" t="s">
        <v>60</v>
      </c>
      <c r="I110" s="14" t="s">
        <v>62</v>
      </c>
      <c r="J110" s="14" t="s">
        <v>63</v>
      </c>
      <c r="K110" s="17" t="str">
        <f>IFERROR(__xludf.DUMMYFUNCTION("XLOOKUP(B110,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""-"")"),"vimal.ec23@bitsathy.ac.in")</f>
        <v>vimal.ec23@bitsathy.ac.in</v>
      </c>
      <c r="L110" s="21" t="str">
        <f>IFERROR(__xludf.DUMMYFUNCTION("XLOOKUP(B110,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""-"")"),"7604904638")</f>
        <v>7604904638</v>
      </c>
      <c r="M110" s="14" t="s">
        <v>71</v>
      </c>
      <c r="N110" s="14" t="s">
        <v>339</v>
      </c>
      <c r="O110" s="36" t="s">
        <v>340</v>
      </c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22"/>
      <c r="AA110" s="22"/>
      <c r="AB110" s="22"/>
      <c r="AC110" s="22"/>
      <c r="AD110" s="22"/>
    </row>
    <row r="111">
      <c r="A111" s="21">
        <v>110.0</v>
      </c>
      <c r="B111" s="44" t="s">
        <v>345</v>
      </c>
      <c r="C111" s="16" t="str">
        <f>IFERROR(__xludf.DUMMYFUNCTION("XLOOKUP(B111,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""-"")"),"MONIKA SRI K")</f>
        <v>MONIKA SRI K</v>
      </c>
      <c r="D111" s="17" t="str">
        <f>IFERROR(__xludf.DUMMYFUNCTION("XLOOKUP(B111,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111" s="33" t="s">
        <v>165</v>
      </c>
      <c r="F111" s="14">
        <v>4.5</v>
      </c>
      <c r="G111" s="14" t="s">
        <v>59</v>
      </c>
      <c r="H111" s="14" t="s">
        <v>60</v>
      </c>
      <c r="I111" s="14" t="s">
        <v>62</v>
      </c>
      <c r="J111" s="14" t="s">
        <v>63</v>
      </c>
      <c r="K111" s="17" t="str">
        <f>IFERROR(__xludf.DUMMYFUNCTION("XLOOKUP(B111,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""-"")"),"monikasri.ec23@bitsathy.ac.in")</f>
        <v>monikasri.ec23@bitsathy.ac.in</v>
      </c>
      <c r="L111" s="21" t="str">
        <f>IFERROR(__xludf.DUMMYFUNCTION("XLOOKUP(B111,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""-"")"),"7904127315")</f>
        <v>7904127315</v>
      </c>
      <c r="M111" s="14" t="s">
        <v>71</v>
      </c>
      <c r="N111" s="14" t="s">
        <v>339</v>
      </c>
      <c r="O111" s="36" t="s">
        <v>340</v>
      </c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22"/>
      <c r="AA111" s="22"/>
      <c r="AB111" s="22"/>
      <c r="AC111" s="22"/>
      <c r="AD111" s="22"/>
    </row>
    <row r="112">
      <c r="A112" s="21">
        <v>111.0</v>
      </c>
      <c r="B112" s="44" t="s">
        <v>346</v>
      </c>
      <c r="C112" s="16" t="str">
        <f>IFERROR(__xludf.DUMMYFUNCTION("XLOOKUP(B112,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""-"")"),"VISHAL R")</f>
        <v>VISHAL R</v>
      </c>
      <c r="D112" s="17" t="str">
        <f>IFERROR(__xludf.DUMMYFUNCTION("XLOOKUP(B112,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112" s="33" t="s">
        <v>165</v>
      </c>
      <c r="F112" s="14">
        <v>4.5</v>
      </c>
      <c r="G112" s="14" t="s">
        <v>59</v>
      </c>
      <c r="H112" s="14" t="s">
        <v>60</v>
      </c>
      <c r="I112" s="14" t="s">
        <v>62</v>
      </c>
      <c r="J112" s="14" t="s">
        <v>63</v>
      </c>
      <c r="K112" s="17" t="str">
        <f>IFERROR(__xludf.DUMMYFUNCTION("XLOOKUP(B112,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""-"")"),"vishalr.ec23@bitsathy.ac.in")</f>
        <v>vishalr.ec23@bitsathy.ac.in</v>
      </c>
      <c r="L112" s="21" t="str">
        <f>IFERROR(__xludf.DUMMYFUNCTION("XLOOKUP(B112,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""-"")"),"6374821853")</f>
        <v>6374821853</v>
      </c>
      <c r="M112" s="14" t="s">
        <v>71</v>
      </c>
      <c r="N112" s="14" t="s">
        <v>339</v>
      </c>
      <c r="O112" s="36" t="s">
        <v>340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22"/>
      <c r="AA112" s="22"/>
      <c r="AB112" s="22"/>
      <c r="AC112" s="22"/>
      <c r="AD112" s="22"/>
    </row>
    <row r="113">
      <c r="A113" s="21">
        <v>112.0</v>
      </c>
      <c r="B113" s="15" t="s">
        <v>347</v>
      </c>
      <c r="C113" s="16" t="str">
        <f>IFERROR(__xludf.DUMMYFUNCTION("XLOOKUP(B113,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""-"")"),"SAMPPREETHAA S")</f>
        <v>SAMPPREETHAA S</v>
      </c>
      <c r="D113" s="17" t="str">
        <f>IFERROR(__xludf.DUMMYFUNCTION("XLOOKUP(B113,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13" s="33" t="s">
        <v>190</v>
      </c>
      <c r="F113" s="14">
        <v>3.0</v>
      </c>
      <c r="G113" s="14" t="s">
        <v>59</v>
      </c>
      <c r="H113" s="14" t="s">
        <v>60</v>
      </c>
      <c r="I113" s="14" t="s">
        <v>136</v>
      </c>
      <c r="J113" s="14" t="s">
        <v>99</v>
      </c>
      <c r="K113" s="17" t="str">
        <f>IFERROR(__xludf.DUMMYFUNCTION("XLOOKUP(B113,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""-"")"),"samppreethaa.ei23@bitsathy.ac.in")</f>
        <v>samppreethaa.ei23@bitsathy.ac.in</v>
      </c>
      <c r="L113" s="21" t="str">
        <f>IFERROR(__xludf.DUMMYFUNCTION("XLOOKUP(B113,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""-"")"),"8056434424")</f>
        <v>8056434424</v>
      </c>
      <c r="M113" s="14" t="s">
        <v>71</v>
      </c>
      <c r="N113" s="14" t="s">
        <v>348</v>
      </c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22"/>
      <c r="AA113" s="22"/>
      <c r="AB113" s="22"/>
      <c r="AC113" s="22"/>
      <c r="AD113" s="22"/>
    </row>
    <row r="114">
      <c r="A114" s="21">
        <v>113.0</v>
      </c>
      <c r="B114" s="15" t="s">
        <v>349</v>
      </c>
      <c r="C114" s="16" t="str">
        <f>IFERROR(__xludf.DUMMYFUNCTION("XLOOKUP(B114,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""-"")"),"MATHIYAZHAGAN M")</f>
        <v>MATHIYAZHAGAN M</v>
      </c>
      <c r="D114" s="17" t="str">
        <f>IFERROR(__xludf.DUMMYFUNCTION("XLOOKUP(B114,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14" s="33" t="s">
        <v>190</v>
      </c>
      <c r="F114" s="14">
        <v>3.0</v>
      </c>
      <c r="G114" s="14" t="s">
        <v>59</v>
      </c>
      <c r="H114" s="14" t="s">
        <v>60</v>
      </c>
      <c r="I114" s="14" t="s">
        <v>136</v>
      </c>
      <c r="J114" s="14" t="s">
        <v>99</v>
      </c>
      <c r="K114" s="17" t="str">
        <f>IFERROR(__xludf.DUMMYFUNCTION("XLOOKUP(B114,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""-"")"),"mathiyazhagan.mz23@bitsathy.ac.in")</f>
        <v>mathiyazhagan.mz23@bitsathy.ac.in</v>
      </c>
      <c r="L114" s="21" t="str">
        <f>IFERROR(__xludf.DUMMYFUNCTION("XLOOKUP(B114,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""-"")"),"9944196743")</f>
        <v>9944196743</v>
      </c>
      <c r="M114" s="14" t="s">
        <v>71</v>
      </c>
      <c r="N114" s="14" t="s">
        <v>348</v>
      </c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22"/>
      <c r="AA114" s="22"/>
      <c r="AB114" s="22"/>
      <c r="AC114" s="22"/>
      <c r="AD114" s="22"/>
    </row>
    <row r="115">
      <c r="A115" s="21">
        <v>114.0</v>
      </c>
      <c r="B115" s="15" t="s">
        <v>350</v>
      </c>
      <c r="C115" s="16" t="str">
        <f>IFERROR(__xludf.DUMMYFUNCTION("XLOOKUP(B115,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""-"")"),"GOKULRITHIS N")</f>
        <v>GOKULRITHIS N</v>
      </c>
      <c r="D115" s="17" t="str">
        <f>IFERROR(__xludf.DUMMYFUNCTION("XLOOKUP(B115,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15" s="33" t="s">
        <v>190</v>
      </c>
      <c r="F115" s="14">
        <v>3.0</v>
      </c>
      <c r="G115" s="14" t="s">
        <v>59</v>
      </c>
      <c r="H115" s="14" t="s">
        <v>60</v>
      </c>
      <c r="I115" s="14" t="s">
        <v>136</v>
      </c>
      <c r="J115" s="14" t="s">
        <v>99</v>
      </c>
      <c r="K115" s="17" t="str">
        <f>IFERROR(__xludf.DUMMYFUNCTION("XLOOKUP(B115,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""-"")"),"gokulrithis.mz23@bitsathy.ac.in")</f>
        <v>gokulrithis.mz23@bitsathy.ac.in</v>
      </c>
      <c r="L115" s="21" t="str">
        <f>IFERROR(__xludf.DUMMYFUNCTION("XLOOKUP(B115,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""-"")"),"9345419712")</f>
        <v>9345419712</v>
      </c>
      <c r="M115" s="14" t="s">
        <v>71</v>
      </c>
      <c r="N115" s="14" t="s">
        <v>348</v>
      </c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22"/>
      <c r="AA115" s="22"/>
      <c r="AB115" s="22"/>
      <c r="AC115" s="22"/>
      <c r="AD115" s="22"/>
    </row>
    <row r="116">
      <c r="A116" s="21">
        <v>115.0</v>
      </c>
      <c r="B116" s="15" t="s">
        <v>351</v>
      </c>
      <c r="C116" s="16" t="str">
        <f>IFERROR(__xludf.DUMMYFUNCTION("XLOOKUP(B116,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""-"")"),"TAMILARASU S")</f>
        <v>TAMILARASU S</v>
      </c>
      <c r="D116" s="17" t="str">
        <f>IFERROR(__xludf.DUMMYFUNCTION("XLOOKUP(B116,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16" s="33" t="s">
        <v>190</v>
      </c>
      <c r="F116" s="14">
        <v>3.0</v>
      </c>
      <c r="G116" s="14" t="s">
        <v>59</v>
      </c>
      <c r="H116" s="14" t="s">
        <v>60</v>
      </c>
      <c r="I116" s="14" t="s">
        <v>136</v>
      </c>
      <c r="J116" s="14" t="s">
        <v>63</v>
      </c>
      <c r="K116" s="17" t="str">
        <f>IFERROR(__xludf.DUMMYFUNCTION("XLOOKUP(B116,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""-"")"),"tamilarasus.ei23@bitsathy.ac.in")</f>
        <v>tamilarasus.ei23@bitsathy.ac.in</v>
      </c>
      <c r="L116" s="21" t="str">
        <f>IFERROR(__xludf.DUMMYFUNCTION("XLOOKUP(B116,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""-"")"),"9344290025")</f>
        <v>9344290025</v>
      </c>
      <c r="M116" s="14" t="s">
        <v>71</v>
      </c>
      <c r="N116" s="14" t="s">
        <v>348</v>
      </c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22"/>
      <c r="AA116" s="22"/>
      <c r="AB116" s="22"/>
      <c r="AC116" s="22"/>
      <c r="AD116" s="22"/>
    </row>
    <row r="117">
      <c r="A117" s="21">
        <v>116.0</v>
      </c>
      <c r="B117" s="15" t="s">
        <v>352</v>
      </c>
      <c r="C117" s="16" t="str">
        <f>IFERROR(__xludf.DUMMYFUNCTION("XLOOKUP(B117,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""-"")"),"PRAGADIESH S")</f>
        <v>PRAGADIESH S</v>
      </c>
      <c r="D117" s="17" t="str">
        <f>IFERROR(__xludf.DUMMYFUNCTION("XLOOKUP(B117,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17" s="33" t="s">
        <v>190</v>
      </c>
      <c r="F117" s="14">
        <v>3.0</v>
      </c>
      <c r="G117" s="14" t="s">
        <v>252</v>
      </c>
      <c r="H117" s="14"/>
      <c r="I117" s="14" t="s">
        <v>136</v>
      </c>
      <c r="J117" s="14" t="s">
        <v>99</v>
      </c>
      <c r="K117" s="17" t="str">
        <f>IFERROR(__xludf.DUMMYFUNCTION("XLOOKUP(B117,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""-"")"),"pragadiesh.ei23@bitsathy.ac.in")</f>
        <v>pragadiesh.ei23@bitsathy.ac.in</v>
      </c>
      <c r="L117" s="21" t="str">
        <f>IFERROR(__xludf.DUMMYFUNCTION("XLOOKUP(B117,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""-"")"),"9500274493")</f>
        <v>9500274493</v>
      </c>
      <c r="M117" s="14" t="s">
        <v>71</v>
      </c>
      <c r="N117" s="14" t="s">
        <v>348</v>
      </c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22"/>
      <c r="AA117" s="22"/>
      <c r="AB117" s="22"/>
      <c r="AC117" s="22"/>
      <c r="AD117" s="22"/>
    </row>
    <row r="118">
      <c r="A118" s="21">
        <v>117.0</v>
      </c>
      <c r="B118" s="15" t="s">
        <v>353</v>
      </c>
      <c r="C118" s="16" t="str">
        <f>IFERROR(__xludf.DUMMYFUNCTION("XLOOKUP(B118,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""-"")"),"PRAJIN M")</f>
        <v>PRAJIN M</v>
      </c>
      <c r="D118" s="17" t="str">
        <f>IFERROR(__xludf.DUMMYFUNCTION("XLOOKUP(B118,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18" s="33" t="s">
        <v>190</v>
      </c>
      <c r="F118" s="14">
        <v>3.0</v>
      </c>
      <c r="G118" s="14" t="s">
        <v>252</v>
      </c>
      <c r="H118" s="14"/>
      <c r="I118" s="14" t="s">
        <v>136</v>
      </c>
      <c r="J118" s="14" t="s">
        <v>99</v>
      </c>
      <c r="K118" s="17" t="str">
        <f>IFERROR(__xludf.DUMMYFUNCTION("XLOOKUP(B118,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""-"")"),"prajin.ei23@bitsathy.ac.in")</f>
        <v>prajin.ei23@bitsathy.ac.in</v>
      </c>
      <c r="L118" s="21" t="str">
        <f>IFERROR(__xludf.DUMMYFUNCTION("XLOOKUP(B118,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""-"")"),"8098627239")</f>
        <v>8098627239</v>
      </c>
      <c r="M118" s="14" t="s">
        <v>71</v>
      </c>
      <c r="N118" s="14" t="s">
        <v>348</v>
      </c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22"/>
      <c r="AA118" s="22"/>
      <c r="AB118" s="22"/>
      <c r="AC118" s="22"/>
      <c r="AD118" s="22"/>
    </row>
    <row r="119">
      <c r="A119" s="21">
        <v>118.0</v>
      </c>
      <c r="B119" s="15" t="s">
        <v>354</v>
      </c>
      <c r="C119" s="16" t="str">
        <f>IFERROR(__xludf.DUMMYFUNCTION("XLOOKUP(B119,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""-"")"),"CHRISVIN FELIX R")</f>
        <v>CHRISVIN FELIX R</v>
      </c>
      <c r="D119" s="17" t="str">
        <f>IFERROR(__xludf.DUMMYFUNCTION("XLOOKUP(B119,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19" s="33" t="s">
        <v>190</v>
      </c>
      <c r="F119" s="14">
        <v>3.0</v>
      </c>
      <c r="G119" s="14" t="s">
        <v>252</v>
      </c>
      <c r="H119" s="14"/>
      <c r="I119" s="14" t="s">
        <v>136</v>
      </c>
      <c r="J119" s="14" t="s">
        <v>99</v>
      </c>
      <c r="K119" s="17" t="str">
        <f>IFERROR(__xludf.DUMMYFUNCTION("XLOOKUP(B119,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""-"")"),"chrisvinfelix.ei23@bitsathy.ac.in")</f>
        <v>chrisvinfelix.ei23@bitsathy.ac.in</v>
      </c>
      <c r="L119" s="21" t="str">
        <f>IFERROR(__xludf.DUMMYFUNCTION("XLOOKUP(B119,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""-"")"),"8122292397")</f>
        <v>8122292397</v>
      </c>
      <c r="M119" s="14" t="s">
        <v>71</v>
      </c>
      <c r="N119" s="14" t="s">
        <v>348</v>
      </c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22"/>
      <c r="AA119" s="22"/>
      <c r="AB119" s="22"/>
      <c r="AC119" s="22"/>
      <c r="AD119" s="22"/>
    </row>
    <row r="120">
      <c r="A120" s="21">
        <v>119.0</v>
      </c>
      <c r="B120" s="15" t="s">
        <v>355</v>
      </c>
      <c r="C120" s="16" t="str">
        <f>IFERROR(__xludf.DUMMYFUNCTION("XLOOKUP(B120,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""-"")"),"JEBASH  M")</f>
        <v>JEBASH  M</v>
      </c>
      <c r="D120" s="17" t="str">
        <f>IFERROR(__xludf.DUMMYFUNCTION("XLOOKUP(B120,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20" s="33" t="s">
        <v>190</v>
      </c>
      <c r="F120" s="14">
        <v>3.0</v>
      </c>
      <c r="G120" s="14" t="s">
        <v>59</v>
      </c>
      <c r="H120" s="14" t="s">
        <v>60</v>
      </c>
      <c r="I120" s="14" t="s">
        <v>136</v>
      </c>
      <c r="J120" s="14" t="s">
        <v>63</v>
      </c>
      <c r="K120" s="17" t="str">
        <f>IFERROR(__xludf.DUMMYFUNCTION("XLOOKUP(B120,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""-"")"),"jebash.ei23@bitsathy.ac.in")</f>
        <v>jebash.ei23@bitsathy.ac.in</v>
      </c>
      <c r="L120" s="21" t="str">
        <f>IFERROR(__xludf.DUMMYFUNCTION("XLOOKUP(B120,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""-"")"),"9092492534")</f>
        <v>9092492534</v>
      </c>
      <c r="M120" s="14" t="s">
        <v>71</v>
      </c>
      <c r="N120" s="14" t="s">
        <v>348</v>
      </c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22"/>
      <c r="AA120" s="22"/>
      <c r="AB120" s="22"/>
      <c r="AC120" s="22"/>
      <c r="AD120" s="22"/>
    </row>
    <row r="121">
      <c r="A121" s="21">
        <v>120.0</v>
      </c>
      <c r="B121" s="15" t="s">
        <v>356</v>
      </c>
      <c r="C121" s="16" t="str">
        <f>IFERROR(__xludf.DUMMYFUNCTION("XLOOKUP(B121,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""-"")"),"KABILAN V")</f>
        <v>KABILAN V</v>
      </c>
      <c r="D121" s="17" t="str">
        <f>IFERROR(__xludf.DUMMYFUNCTION("XLOOKUP(B121,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21" s="33" t="s">
        <v>190</v>
      </c>
      <c r="F121" s="14">
        <v>3.0</v>
      </c>
      <c r="G121" s="14" t="s">
        <v>252</v>
      </c>
      <c r="H121" s="14"/>
      <c r="I121" s="14" t="s">
        <v>136</v>
      </c>
      <c r="J121" s="14" t="s">
        <v>99</v>
      </c>
      <c r="K121" s="17" t="str">
        <f>IFERROR(__xludf.DUMMYFUNCTION("XLOOKUP(B121,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""-"")"),"kabilan.ei23@bitsathy.ac.in")</f>
        <v>kabilan.ei23@bitsathy.ac.in</v>
      </c>
      <c r="L121" s="21" t="str">
        <f>IFERROR(__xludf.DUMMYFUNCTION("XLOOKUP(B121,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""-"")"),"6374305394")</f>
        <v>6374305394</v>
      </c>
      <c r="M121" s="14" t="s">
        <v>71</v>
      </c>
      <c r="N121" s="14" t="s">
        <v>348</v>
      </c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22"/>
      <c r="AA121" s="22"/>
      <c r="AB121" s="22"/>
      <c r="AC121" s="22"/>
      <c r="AD121" s="22"/>
    </row>
    <row r="122">
      <c r="A122" s="21">
        <v>121.0</v>
      </c>
      <c r="B122" s="15" t="s">
        <v>357</v>
      </c>
      <c r="C122" s="16" t="str">
        <f>IFERROR(__xludf.DUMMYFUNCTION("XLOOKUP(B122,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""-"")"),"NAGULAN M")</f>
        <v>NAGULAN M</v>
      </c>
      <c r="D122" s="17" t="str">
        <f>IFERROR(__xludf.DUMMYFUNCTION("XLOOKUP(B122,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22" s="33" t="s">
        <v>190</v>
      </c>
      <c r="F122" s="14">
        <v>3.0</v>
      </c>
      <c r="G122" s="14" t="s">
        <v>252</v>
      </c>
      <c r="H122" s="14"/>
      <c r="I122" s="14" t="s">
        <v>136</v>
      </c>
      <c r="J122" s="14" t="s">
        <v>99</v>
      </c>
      <c r="K122" s="17" t="str">
        <f>IFERROR(__xludf.DUMMYFUNCTION("XLOOKUP(B122,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""-"")"),"nagulanm.ei23@bitsathy.ac.in")</f>
        <v>nagulanm.ei23@bitsathy.ac.in</v>
      </c>
      <c r="L122" s="21" t="str">
        <f>IFERROR(__xludf.DUMMYFUNCTION("XLOOKUP(B122,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""-"")"),"7402637738")</f>
        <v>7402637738</v>
      </c>
      <c r="M122" s="14" t="s">
        <v>71</v>
      </c>
      <c r="N122" s="14" t="s">
        <v>348</v>
      </c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22"/>
      <c r="AA122" s="22"/>
      <c r="AB122" s="22"/>
      <c r="AC122" s="22"/>
      <c r="AD122" s="22"/>
    </row>
    <row r="123">
      <c r="A123" s="21">
        <v>122.0</v>
      </c>
      <c r="B123" s="15" t="s">
        <v>358</v>
      </c>
      <c r="C123" s="16" t="str">
        <f>IFERROR(__xludf.DUMMYFUNCTION("XLOOKUP(B123,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""-"")"),"VAISHNAVI M")</f>
        <v>VAISHNAVI M</v>
      </c>
      <c r="D123" s="17" t="str">
        <f>IFERROR(__xludf.DUMMYFUNCTION("XLOOKUP(B123,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23" s="33" t="s">
        <v>190</v>
      </c>
      <c r="F123" s="14">
        <v>3.0</v>
      </c>
      <c r="G123" s="14" t="s">
        <v>252</v>
      </c>
      <c r="H123" s="14"/>
      <c r="I123" s="14" t="s">
        <v>136</v>
      </c>
      <c r="J123" s="14" t="s">
        <v>99</v>
      </c>
      <c r="K123" s="17" t="str">
        <f>IFERROR(__xludf.DUMMYFUNCTION("XLOOKUP(B123,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""-"")"),"vaishnavi.ei23@bitsathy.ac.in")</f>
        <v>vaishnavi.ei23@bitsathy.ac.in</v>
      </c>
      <c r="L123" s="21" t="str">
        <f>IFERROR(__xludf.DUMMYFUNCTION("XLOOKUP(B123,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""-"")"),"6383033394")</f>
        <v>6383033394</v>
      </c>
      <c r="M123" s="14" t="s">
        <v>71</v>
      </c>
      <c r="N123" s="14" t="s">
        <v>348</v>
      </c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22"/>
      <c r="AA123" s="22"/>
      <c r="AB123" s="22"/>
      <c r="AC123" s="22"/>
      <c r="AD123" s="22"/>
    </row>
    <row r="124">
      <c r="A124" s="21">
        <v>123.0</v>
      </c>
      <c r="B124" s="15" t="s">
        <v>359</v>
      </c>
      <c r="C124" s="16" t="str">
        <f>IFERROR(__xludf.DUMMYFUNCTION("XLOOKUP(B124,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""-"")"),"SATHYA PRAKASH K")</f>
        <v>SATHYA PRAKASH K</v>
      </c>
      <c r="D124" s="17" t="str">
        <f>IFERROR(__xludf.DUMMYFUNCTION("XLOOKUP(B124,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24" s="33" t="s">
        <v>190</v>
      </c>
      <c r="F124" s="14">
        <v>3.0</v>
      </c>
      <c r="G124" s="14" t="s">
        <v>252</v>
      </c>
      <c r="H124" s="14"/>
      <c r="I124" s="14" t="s">
        <v>136</v>
      </c>
      <c r="J124" s="14" t="s">
        <v>99</v>
      </c>
      <c r="K124" s="17" t="str">
        <f>IFERROR(__xludf.DUMMYFUNCTION("XLOOKUP(B124,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""-"")"),"sathyaprakash.mz23@bitsathy.ac.in")</f>
        <v>sathyaprakash.mz23@bitsathy.ac.in</v>
      </c>
      <c r="L124" s="21" t="str">
        <f>IFERROR(__xludf.DUMMYFUNCTION("XLOOKUP(B124,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""-"")"),"7708590053")</f>
        <v>7708590053</v>
      </c>
      <c r="M124" s="14" t="s">
        <v>71</v>
      </c>
      <c r="N124" s="14" t="s">
        <v>348</v>
      </c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22"/>
      <c r="AA124" s="22"/>
      <c r="AB124" s="22"/>
      <c r="AC124" s="22"/>
      <c r="AD124" s="22"/>
    </row>
    <row r="125">
      <c r="A125" s="21">
        <v>124.0</v>
      </c>
      <c r="B125" s="15" t="s">
        <v>360</v>
      </c>
      <c r="C125" s="16" t="str">
        <f>IFERROR(__xludf.DUMMYFUNCTION("XLOOKUP(B125,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""-"")"),"TAMILRAJA K A")</f>
        <v>TAMILRAJA K A</v>
      </c>
      <c r="D125" s="17" t="str">
        <f>IFERROR(__xludf.DUMMYFUNCTION("XLOOKUP(B125,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25" s="33" t="s">
        <v>190</v>
      </c>
      <c r="F125" s="14">
        <v>3.0</v>
      </c>
      <c r="G125" s="14" t="s">
        <v>59</v>
      </c>
      <c r="H125" s="14" t="s">
        <v>60</v>
      </c>
      <c r="I125" s="14" t="s">
        <v>136</v>
      </c>
      <c r="J125" s="14" t="s">
        <v>63</v>
      </c>
      <c r="K125" s="17" t="str">
        <f>IFERROR(__xludf.DUMMYFUNCTION("XLOOKUP(B125,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""-"")"),"tamilrajaka.ei23@bitsathy.ac.in")</f>
        <v>tamilrajaka.ei23@bitsathy.ac.in</v>
      </c>
      <c r="L125" s="21" t="str">
        <f>IFERROR(__xludf.DUMMYFUNCTION("XLOOKUP(B125,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""-"")"),"9345994470")</f>
        <v>9345994470</v>
      </c>
      <c r="M125" s="14" t="s">
        <v>71</v>
      </c>
      <c r="N125" s="14" t="s">
        <v>348</v>
      </c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22"/>
      <c r="AA125" s="22"/>
      <c r="AB125" s="22"/>
      <c r="AC125" s="22"/>
      <c r="AD125" s="22"/>
    </row>
    <row r="126">
      <c r="A126" s="21">
        <v>125.0</v>
      </c>
      <c r="B126" s="46" t="s">
        <v>361</v>
      </c>
      <c r="C126" s="16" t="str">
        <f>IFERROR(__xludf.DUMMYFUNCTION("XLOOKUP(B126,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""-"")"),"CHANDRU V")</f>
        <v>CHANDRU V</v>
      </c>
      <c r="D126" s="17" t="str">
        <f>IFERROR(__xludf.DUMMYFUNCTION("XLOOKUP(B126,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26" s="33" t="s">
        <v>158</v>
      </c>
      <c r="F126" s="14">
        <v>4.0</v>
      </c>
      <c r="G126" s="14" t="s">
        <v>59</v>
      </c>
      <c r="H126" s="14"/>
      <c r="I126" s="14" t="s">
        <v>136</v>
      </c>
      <c r="J126" s="14" t="s">
        <v>63</v>
      </c>
      <c r="K126" s="17" t="str">
        <f>IFERROR(__xludf.DUMMYFUNCTION("XLOOKUP(B126,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""-"")"),"chandru.mz23@bitsathy.ac.in")</f>
        <v>chandru.mz23@bitsathy.ac.in</v>
      </c>
      <c r="L126" s="21" t="str">
        <f>IFERROR(__xludf.DUMMYFUNCTION("XLOOKUP(B126,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""-"")"),"9500571838")</f>
        <v>9500571838</v>
      </c>
      <c r="M126" s="14" t="s">
        <v>71</v>
      </c>
      <c r="N126" s="14" t="s">
        <v>362</v>
      </c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22"/>
      <c r="AA126" s="22"/>
      <c r="AB126" s="22"/>
      <c r="AC126" s="22"/>
      <c r="AD126" s="22"/>
    </row>
    <row r="127">
      <c r="A127" s="21">
        <v>126.0</v>
      </c>
      <c r="B127" s="32" t="s">
        <v>363</v>
      </c>
      <c r="C127" s="16" t="str">
        <f>IFERROR(__xludf.DUMMYFUNCTION("XLOOKUP(B127,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""-"")"),"ANBARASU G")</f>
        <v>ANBARASU G</v>
      </c>
      <c r="D127" s="17" t="str">
        <f>IFERROR(__xludf.DUMMYFUNCTION("XLOOKUP(B127,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27" s="33" t="s">
        <v>189</v>
      </c>
      <c r="F127" s="14">
        <v>3.0</v>
      </c>
      <c r="G127" s="14" t="s">
        <v>59</v>
      </c>
      <c r="H127" s="14"/>
      <c r="I127" s="14" t="s">
        <v>136</v>
      </c>
      <c r="J127" s="14" t="s">
        <v>99</v>
      </c>
      <c r="K127" s="17" t="str">
        <f>IFERROR(__xludf.DUMMYFUNCTION("XLOOKUP(B127,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""-"")"),"anbarasu.ee23@bitsathy.ac.in")</f>
        <v>anbarasu.ee23@bitsathy.ac.in</v>
      </c>
      <c r="L127" s="21" t="str">
        <f>IFERROR(__xludf.DUMMYFUNCTION("XLOOKUP(B127,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""-"")"),"9790097487")</f>
        <v>9790097487</v>
      </c>
      <c r="M127" s="14" t="s">
        <v>71</v>
      </c>
      <c r="N127" s="14" t="s">
        <v>364</v>
      </c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22"/>
      <c r="AA127" s="22"/>
      <c r="AB127" s="22"/>
      <c r="AC127" s="22"/>
      <c r="AD127" s="22"/>
    </row>
    <row r="128">
      <c r="A128" s="21">
        <v>127.0</v>
      </c>
      <c r="B128" s="32" t="s">
        <v>365</v>
      </c>
      <c r="C128" s="16" t="str">
        <f>IFERROR(__xludf.DUMMYFUNCTION("XLOOKUP(B128,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""-"")"),"DHILIP M V")</f>
        <v>DHILIP M V</v>
      </c>
      <c r="D128" s="17" t="str">
        <f>IFERROR(__xludf.DUMMYFUNCTION("XLOOKUP(B128,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28" s="33" t="s">
        <v>189</v>
      </c>
      <c r="F128" s="14">
        <v>3.0</v>
      </c>
      <c r="G128" s="14" t="s">
        <v>59</v>
      </c>
      <c r="H128" s="14"/>
      <c r="I128" s="14" t="s">
        <v>136</v>
      </c>
      <c r="J128" s="14" t="s">
        <v>99</v>
      </c>
      <c r="K128" s="17" t="str">
        <f>IFERROR(__xludf.DUMMYFUNCTION("XLOOKUP(B128,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""-"")"),"dhilip.ee23@bitsathy.ac.in")</f>
        <v>dhilip.ee23@bitsathy.ac.in</v>
      </c>
      <c r="L128" s="21" t="str">
        <f>IFERROR(__xludf.DUMMYFUNCTION("XLOOKUP(B128,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""-"")"),"8870724606")</f>
        <v>8870724606</v>
      </c>
      <c r="M128" s="14" t="s">
        <v>71</v>
      </c>
      <c r="N128" s="14" t="s">
        <v>364</v>
      </c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22"/>
      <c r="AA128" s="22"/>
      <c r="AB128" s="22"/>
      <c r="AC128" s="22"/>
      <c r="AD128" s="22"/>
    </row>
    <row r="129">
      <c r="A129" s="21">
        <v>128.0</v>
      </c>
      <c r="B129" s="32" t="s">
        <v>366</v>
      </c>
      <c r="C129" s="16" t="str">
        <f>IFERROR(__xludf.DUMMYFUNCTION("XLOOKUP(B129,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""-"")"),"KEERTHISANKAR S")</f>
        <v>KEERTHISANKAR S</v>
      </c>
      <c r="D129" s="17" t="str">
        <f>IFERROR(__xludf.DUMMYFUNCTION("XLOOKUP(B129,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29" s="33" t="s">
        <v>189</v>
      </c>
      <c r="F129" s="14">
        <v>3.0</v>
      </c>
      <c r="G129" s="14" t="s">
        <v>59</v>
      </c>
      <c r="H129" s="14"/>
      <c r="I129" s="14" t="s">
        <v>136</v>
      </c>
      <c r="J129" s="14" t="s">
        <v>99</v>
      </c>
      <c r="K129" s="17" t="str">
        <f>IFERROR(__xludf.DUMMYFUNCTION("XLOOKUP(B129,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""-"")"),"keerthisankar.ee23@bitsathy.ac.in")</f>
        <v>keerthisankar.ee23@bitsathy.ac.in</v>
      </c>
      <c r="L129" s="21" t="str">
        <f>IFERROR(__xludf.DUMMYFUNCTION("XLOOKUP(B129,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""-"")"),"6369167789")</f>
        <v>6369167789</v>
      </c>
      <c r="M129" s="14" t="s">
        <v>71</v>
      </c>
      <c r="N129" s="14" t="s">
        <v>364</v>
      </c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22"/>
      <c r="AA129" s="22"/>
      <c r="AB129" s="22"/>
      <c r="AC129" s="22"/>
      <c r="AD129" s="22"/>
    </row>
    <row r="130">
      <c r="A130" s="21">
        <v>129.0</v>
      </c>
      <c r="B130" s="32" t="s">
        <v>367</v>
      </c>
      <c r="C130" s="16" t="str">
        <f>IFERROR(__xludf.DUMMYFUNCTION("XLOOKUP(B130,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""-"")"),"NIKILESHKUMAR S")</f>
        <v>NIKILESHKUMAR S</v>
      </c>
      <c r="D130" s="17" t="str">
        <f>IFERROR(__xludf.DUMMYFUNCTION("XLOOKUP(B130,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30" s="33" t="s">
        <v>189</v>
      </c>
      <c r="F130" s="14">
        <v>3.0</v>
      </c>
      <c r="G130" s="14" t="s">
        <v>59</v>
      </c>
      <c r="H130" s="14"/>
      <c r="I130" s="14" t="s">
        <v>136</v>
      </c>
      <c r="J130" s="14" t="s">
        <v>99</v>
      </c>
      <c r="K130" s="17" t="str">
        <f>IFERROR(__xludf.DUMMYFUNCTION("XLOOKUP(B130,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""-"")"),"nikileshkumar.ee23@bitsathy.ac.in")</f>
        <v>nikileshkumar.ee23@bitsathy.ac.in</v>
      </c>
      <c r="L130" s="21" t="str">
        <f>IFERROR(__xludf.DUMMYFUNCTION("XLOOKUP(B130,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""-"")"),"9994706869")</f>
        <v>9994706869</v>
      </c>
      <c r="M130" s="14" t="s">
        <v>71</v>
      </c>
      <c r="N130" s="14" t="s">
        <v>364</v>
      </c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22"/>
      <c r="AA130" s="22"/>
      <c r="AB130" s="22"/>
      <c r="AC130" s="22"/>
      <c r="AD130" s="22"/>
    </row>
    <row r="131">
      <c r="A131" s="21">
        <v>130.0</v>
      </c>
      <c r="B131" s="32" t="s">
        <v>368</v>
      </c>
      <c r="C131" s="16" t="str">
        <f>IFERROR(__xludf.DUMMYFUNCTION("XLOOKUP(B131,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""-"")"),"SANTHOSH V")</f>
        <v>SANTHOSH V</v>
      </c>
      <c r="D131" s="17" t="str">
        <f>IFERROR(__xludf.DUMMYFUNCTION("XLOOKUP(B131,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31" s="33" t="s">
        <v>189</v>
      </c>
      <c r="F131" s="14">
        <v>3.0</v>
      </c>
      <c r="G131" s="14" t="s">
        <v>59</v>
      </c>
      <c r="H131" s="14"/>
      <c r="I131" s="14" t="s">
        <v>136</v>
      </c>
      <c r="J131" s="14" t="s">
        <v>99</v>
      </c>
      <c r="K131" s="17" t="str">
        <f>IFERROR(__xludf.DUMMYFUNCTION("XLOOKUP(B131,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""-"")"),"santhosh.ee23@bitsathy.ac.in")</f>
        <v>santhosh.ee23@bitsathy.ac.in</v>
      </c>
      <c r="L131" s="21" t="str">
        <f>IFERROR(__xludf.DUMMYFUNCTION("XLOOKUP(B131,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""-"")"),"8667424804")</f>
        <v>8667424804</v>
      </c>
      <c r="M131" s="14" t="s">
        <v>71</v>
      </c>
      <c r="N131" s="14" t="s">
        <v>364</v>
      </c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22"/>
      <c r="AA131" s="22"/>
      <c r="AB131" s="22"/>
      <c r="AC131" s="22"/>
      <c r="AD131" s="22"/>
    </row>
    <row r="132">
      <c r="A132" s="21">
        <v>131.0</v>
      </c>
      <c r="B132" s="32" t="s">
        <v>369</v>
      </c>
      <c r="C132" s="16" t="str">
        <f>IFERROR(__xludf.DUMMYFUNCTION("XLOOKUP(B132,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""-"")"),"PRANAV  T S S")</f>
        <v>PRANAV  T S S</v>
      </c>
      <c r="D132" s="17" t="str">
        <f>IFERROR(__xludf.DUMMYFUNCTION("XLOOKUP(B132,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32" s="33" t="s">
        <v>189</v>
      </c>
      <c r="F132" s="14">
        <v>3.0</v>
      </c>
      <c r="G132" s="14" t="s">
        <v>59</v>
      </c>
      <c r="H132" s="14"/>
      <c r="I132" s="14" t="s">
        <v>136</v>
      </c>
      <c r="J132" s="14" t="s">
        <v>99</v>
      </c>
      <c r="K132" s="17" t="str">
        <f>IFERROR(__xludf.DUMMYFUNCTION("XLOOKUP(B132,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""-"")"),"pranav.ee23@bitsathy.ac.in")</f>
        <v>pranav.ee23@bitsathy.ac.in</v>
      </c>
      <c r="L132" s="21" t="str">
        <f>IFERROR(__xludf.DUMMYFUNCTION("XLOOKUP(B132,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""-"")"),"9944821970")</f>
        <v>9944821970</v>
      </c>
      <c r="M132" s="14" t="s">
        <v>71</v>
      </c>
      <c r="N132" s="14" t="s">
        <v>364</v>
      </c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22"/>
      <c r="AA132" s="22"/>
      <c r="AB132" s="22"/>
      <c r="AC132" s="22"/>
      <c r="AD132" s="22"/>
    </row>
    <row r="133">
      <c r="A133" s="21">
        <v>132.0</v>
      </c>
      <c r="B133" s="32" t="s">
        <v>370</v>
      </c>
      <c r="C133" s="16" t="str">
        <f>IFERROR(__xludf.DUMMYFUNCTION("XLOOKUP(B133,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""-"")"),"ATHITHYA J")</f>
        <v>ATHITHYA J</v>
      </c>
      <c r="D133" s="17" t="str">
        <f>IFERROR(__xludf.DUMMYFUNCTION("XLOOKUP(B133,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3" s="33" t="s">
        <v>189</v>
      </c>
      <c r="F133" s="14">
        <v>3.0</v>
      </c>
      <c r="G133" s="14" t="s">
        <v>59</v>
      </c>
      <c r="H133" s="14"/>
      <c r="I133" s="14" t="s">
        <v>136</v>
      </c>
      <c r="J133" s="14" t="s">
        <v>99</v>
      </c>
      <c r="K133" s="17" t="str">
        <f>IFERROR(__xludf.DUMMYFUNCTION("XLOOKUP(B133,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""-"")"),"athithyaj.me23@bitsathy.ac.in")</f>
        <v>athithyaj.me23@bitsathy.ac.in</v>
      </c>
      <c r="L133" s="21" t="str">
        <f>IFERROR(__xludf.DUMMYFUNCTION("XLOOKUP(B133,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""-"")"),"9345841715")</f>
        <v>9345841715</v>
      </c>
      <c r="M133" s="14" t="s">
        <v>71</v>
      </c>
      <c r="N133" s="14" t="s">
        <v>364</v>
      </c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22"/>
      <c r="AA133" s="22"/>
      <c r="AB133" s="22"/>
      <c r="AC133" s="22"/>
      <c r="AD133" s="22"/>
    </row>
    <row r="134">
      <c r="A134" s="21">
        <v>133.0</v>
      </c>
      <c r="B134" s="32" t="s">
        <v>371</v>
      </c>
      <c r="C134" s="16" t="str">
        <f>IFERROR(__xludf.DUMMYFUNCTION("XLOOKUP(B134,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""-"")"),"DHANU PRANESH  S B")</f>
        <v>DHANU PRANESH  S B</v>
      </c>
      <c r="D134" s="17" t="str">
        <f>IFERROR(__xludf.DUMMYFUNCTION("XLOOKUP(B134,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4" s="33" t="s">
        <v>189</v>
      </c>
      <c r="F134" s="14">
        <v>3.0</v>
      </c>
      <c r="G134" s="14" t="s">
        <v>59</v>
      </c>
      <c r="H134" s="14"/>
      <c r="I134" s="14" t="s">
        <v>136</v>
      </c>
      <c r="J134" s="14" t="s">
        <v>99</v>
      </c>
      <c r="K134" s="17" t="str">
        <f>IFERROR(__xludf.DUMMYFUNCTION("XLOOKUP(B134,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""-"")"),"dhanupranesh.me23@bitsathy.ac.in")</f>
        <v>dhanupranesh.me23@bitsathy.ac.in</v>
      </c>
      <c r="L134" s="21" t="str">
        <f>IFERROR(__xludf.DUMMYFUNCTION("XLOOKUP(B134,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""-"")"),"6383251141")</f>
        <v>6383251141</v>
      </c>
      <c r="M134" s="14" t="s">
        <v>71</v>
      </c>
      <c r="N134" s="14" t="s">
        <v>364</v>
      </c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22"/>
      <c r="AA134" s="22"/>
      <c r="AB134" s="22"/>
      <c r="AC134" s="22"/>
      <c r="AD134" s="22"/>
    </row>
    <row r="135">
      <c r="A135" s="21">
        <v>134.0</v>
      </c>
      <c r="B135" s="32" t="s">
        <v>372</v>
      </c>
      <c r="C135" s="16" t="str">
        <f>IFERROR(__xludf.DUMMYFUNCTION("XLOOKUP(B135,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""-"")"),"KAVIARASAN K")</f>
        <v>KAVIARASAN K</v>
      </c>
      <c r="D135" s="17" t="str">
        <f>IFERROR(__xludf.DUMMYFUNCTION("XLOOKUP(B135,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5" s="33" t="s">
        <v>189</v>
      </c>
      <c r="F135" s="14">
        <v>3.0</v>
      </c>
      <c r="G135" s="14" t="s">
        <v>59</v>
      </c>
      <c r="H135" s="14"/>
      <c r="I135" s="14" t="s">
        <v>136</v>
      </c>
      <c r="J135" s="14" t="s">
        <v>99</v>
      </c>
      <c r="K135" s="17" t="str">
        <f>IFERROR(__xludf.DUMMYFUNCTION("XLOOKUP(B135,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""-"")"),"kavirasan.me23@bitsathy.ac.in")</f>
        <v>kavirasan.me23@bitsathy.ac.in</v>
      </c>
      <c r="L135" s="21" t="str">
        <f>IFERROR(__xludf.DUMMYFUNCTION("XLOOKUP(B135,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""-"")"),"8825732745")</f>
        <v>8825732745</v>
      </c>
      <c r="M135" s="14" t="s">
        <v>71</v>
      </c>
      <c r="N135" s="14" t="s">
        <v>364</v>
      </c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22"/>
      <c r="AA135" s="22"/>
      <c r="AB135" s="22"/>
      <c r="AC135" s="22"/>
      <c r="AD135" s="22"/>
    </row>
    <row r="136">
      <c r="A136" s="21">
        <v>135.0</v>
      </c>
      <c r="B136" s="32" t="s">
        <v>373</v>
      </c>
      <c r="C136" s="16" t="str">
        <f>IFERROR(__xludf.DUMMYFUNCTION("XLOOKUP(B136,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""-"")"),"KISORE A")</f>
        <v>KISORE A</v>
      </c>
      <c r="D136" s="17" t="str">
        <f>IFERROR(__xludf.DUMMYFUNCTION("XLOOKUP(B136,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6" s="33" t="s">
        <v>189</v>
      </c>
      <c r="F136" s="14">
        <v>3.0</v>
      </c>
      <c r="G136" s="14" t="s">
        <v>59</v>
      </c>
      <c r="H136" s="14"/>
      <c r="I136" s="14" t="s">
        <v>136</v>
      </c>
      <c r="J136" s="14" t="s">
        <v>99</v>
      </c>
      <c r="K136" s="17" t="str">
        <f>IFERROR(__xludf.DUMMYFUNCTION("XLOOKUP(B136,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""-"")"),"kisore.me23@bitsathy.ac.in")</f>
        <v>kisore.me23@bitsathy.ac.in</v>
      </c>
      <c r="L136" s="21" t="str">
        <f>IFERROR(__xludf.DUMMYFUNCTION("XLOOKUP(B136,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""-"")"),"9677427103")</f>
        <v>9677427103</v>
      </c>
      <c r="M136" s="14" t="s">
        <v>71</v>
      </c>
      <c r="N136" s="14" t="s">
        <v>364</v>
      </c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22"/>
      <c r="AA136" s="22"/>
      <c r="AB136" s="22"/>
      <c r="AC136" s="22"/>
      <c r="AD136" s="22"/>
    </row>
    <row r="137">
      <c r="A137" s="21">
        <v>136.0</v>
      </c>
      <c r="B137" s="32" t="s">
        <v>374</v>
      </c>
      <c r="C137" s="16" t="str">
        <f>IFERROR(__xludf.DUMMYFUNCTION("XLOOKUP(B137,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""-"")"),"MANOJ N H")</f>
        <v>MANOJ N H</v>
      </c>
      <c r="D137" s="17" t="str">
        <f>IFERROR(__xludf.DUMMYFUNCTION("XLOOKUP(B137,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7" s="33" t="s">
        <v>189</v>
      </c>
      <c r="F137" s="14">
        <v>3.0</v>
      </c>
      <c r="G137" s="14" t="s">
        <v>59</v>
      </c>
      <c r="H137" s="14"/>
      <c r="I137" s="14" t="s">
        <v>136</v>
      </c>
      <c r="J137" s="14" t="s">
        <v>99</v>
      </c>
      <c r="K137" s="17" t="str">
        <f>IFERROR(__xludf.DUMMYFUNCTION("XLOOKUP(B137,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""-"")"),"manojnh.me23@bitsathy.ac.in")</f>
        <v>manojnh.me23@bitsathy.ac.in</v>
      </c>
      <c r="L137" s="21" t="str">
        <f>IFERROR(__xludf.DUMMYFUNCTION("XLOOKUP(B137,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""-"")"),"9345685564")</f>
        <v>9345685564</v>
      </c>
      <c r="M137" s="14" t="s">
        <v>71</v>
      </c>
      <c r="N137" s="14" t="s">
        <v>364</v>
      </c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22"/>
      <c r="AA137" s="22"/>
      <c r="AB137" s="22"/>
      <c r="AC137" s="22"/>
      <c r="AD137" s="22"/>
    </row>
    <row r="138">
      <c r="A138" s="21">
        <v>137.0</v>
      </c>
      <c r="B138" s="32" t="s">
        <v>375</v>
      </c>
      <c r="C138" s="16" t="str">
        <f>IFERROR(__xludf.DUMMYFUNCTION("XLOOKUP(B138,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""-"")"),"MANOJ R")</f>
        <v>MANOJ R</v>
      </c>
      <c r="D138" s="17" t="str">
        <f>IFERROR(__xludf.DUMMYFUNCTION("XLOOKUP(B138,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8" s="33" t="s">
        <v>189</v>
      </c>
      <c r="F138" s="14">
        <v>3.0</v>
      </c>
      <c r="G138" s="14" t="s">
        <v>59</v>
      </c>
      <c r="H138" s="14"/>
      <c r="I138" s="14" t="s">
        <v>136</v>
      </c>
      <c r="J138" s="14" t="s">
        <v>99</v>
      </c>
      <c r="K138" s="17" t="str">
        <f>IFERROR(__xludf.DUMMYFUNCTION("XLOOKUP(B138,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""-"")"),"manoj.me23@bitsathy.ac.in")</f>
        <v>manoj.me23@bitsathy.ac.in</v>
      </c>
      <c r="L138" s="21" t="str">
        <f>IFERROR(__xludf.DUMMYFUNCTION("XLOOKUP(B138,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""-"")"),"8825743247")</f>
        <v>8825743247</v>
      </c>
      <c r="M138" s="14" t="s">
        <v>71</v>
      </c>
      <c r="N138" s="14" t="s">
        <v>364</v>
      </c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22"/>
      <c r="AA138" s="22"/>
      <c r="AB138" s="22"/>
      <c r="AC138" s="22"/>
      <c r="AD138" s="22"/>
    </row>
    <row r="139">
      <c r="A139" s="21">
        <v>138.0</v>
      </c>
      <c r="B139" s="32" t="s">
        <v>376</v>
      </c>
      <c r="C139" s="16" t="str">
        <f>IFERROR(__xludf.DUMMYFUNCTION("XLOOKUP(B139,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""-"")"),"MOHAMED HALIQUE S F K")</f>
        <v>MOHAMED HALIQUE S F K</v>
      </c>
      <c r="D139" s="17" t="str">
        <f>IFERROR(__xludf.DUMMYFUNCTION("XLOOKUP(B139,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39" s="33" t="s">
        <v>189</v>
      </c>
      <c r="F139" s="14">
        <v>3.0</v>
      </c>
      <c r="G139" s="14" t="s">
        <v>59</v>
      </c>
      <c r="H139" s="14"/>
      <c r="I139" s="14" t="s">
        <v>136</v>
      </c>
      <c r="J139" s="14" t="s">
        <v>99</v>
      </c>
      <c r="K139" s="17" t="str">
        <f>IFERROR(__xludf.DUMMYFUNCTION("XLOOKUP(B139,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""-"")"),"mohamedhalique.me23@bitsathy.ac.in")</f>
        <v>mohamedhalique.me23@bitsathy.ac.in</v>
      </c>
      <c r="L139" s="21" t="str">
        <f>IFERROR(__xludf.DUMMYFUNCTION("XLOOKUP(B139,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""-"")"),"6380832087")</f>
        <v>6380832087</v>
      </c>
      <c r="M139" s="14" t="s">
        <v>71</v>
      </c>
      <c r="N139" s="14" t="s">
        <v>364</v>
      </c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22"/>
      <c r="AA139" s="22"/>
      <c r="AB139" s="22"/>
      <c r="AC139" s="22"/>
      <c r="AD139" s="22"/>
    </row>
    <row r="140">
      <c r="A140" s="21">
        <v>139.0</v>
      </c>
      <c r="B140" s="32" t="s">
        <v>377</v>
      </c>
      <c r="C140" s="16" t="str">
        <f>IFERROR(__xludf.DUMMYFUNCTION("XLOOKUP(B140,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""-"")"),"PAARTHA SAARATHI A")</f>
        <v>PAARTHA SAARATHI A</v>
      </c>
      <c r="D140" s="17" t="str">
        <f>IFERROR(__xludf.DUMMYFUNCTION("XLOOKUP(B140,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0" s="33" t="s">
        <v>189</v>
      </c>
      <c r="F140" s="14">
        <v>3.0</v>
      </c>
      <c r="G140" s="14" t="s">
        <v>59</v>
      </c>
      <c r="H140" s="14"/>
      <c r="I140" s="14" t="s">
        <v>136</v>
      </c>
      <c r="J140" s="14" t="s">
        <v>99</v>
      </c>
      <c r="K140" s="17" t="str">
        <f>IFERROR(__xludf.DUMMYFUNCTION("XLOOKUP(B140,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""-"")"),"paarthasaarathi.me23@bitsathy.ac.in")</f>
        <v>paarthasaarathi.me23@bitsathy.ac.in</v>
      </c>
      <c r="L140" s="21" t="str">
        <f>IFERROR(__xludf.DUMMYFUNCTION("XLOOKUP(B140,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""-"")"),"9123560204")</f>
        <v>9123560204</v>
      </c>
      <c r="M140" s="14" t="s">
        <v>71</v>
      </c>
      <c r="N140" s="14" t="s">
        <v>364</v>
      </c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22"/>
      <c r="AA140" s="22"/>
      <c r="AB140" s="22"/>
      <c r="AC140" s="22"/>
      <c r="AD140" s="22"/>
    </row>
    <row r="141">
      <c r="A141" s="21">
        <v>140.0</v>
      </c>
      <c r="B141" s="32" t="s">
        <v>378</v>
      </c>
      <c r="C141" s="16" t="str">
        <f>IFERROR(__xludf.DUMMYFUNCTION("XLOOKUP(B141,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""-"")"),"PADMAPRAJESH S B")</f>
        <v>PADMAPRAJESH S B</v>
      </c>
      <c r="D141" s="17" t="str">
        <f>IFERROR(__xludf.DUMMYFUNCTION("XLOOKUP(B141,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1" s="33" t="s">
        <v>189</v>
      </c>
      <c r="F141" s="14">
        <v>3.0</v>
      </c>
      <c r="G141" s="14" t="s">
        <v>59</v>
      </c>
      <c r="H141" s="14"/>
      <c r="I141" s="14" t="s">
        <v>136</v>
      </c>
      <c r="J141" s="14" t="s">
        <v>99</v>
      </c>
      <c r="K141" s="17" t="str">
        <f>IFERROR(__xludf.DUMMYFUNCTION("XLOOKUP(B141,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""-"")"),"padmaprajeshsb.me23@bitsathy.ac.in")</f>
        <v>padmaprajeshsb.me23@bitsathy.ac.in</v>
      </c>
      <c r="L141" s="21" t="str">
        <f>IFERROR(__xludf.DUMMYFUNCTION("XLOOKUP(B141,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""-"")"),"7530061995")</f>
        <v>7530061995</v>
      </c>
      <c r="M141" s="14" t="s">
        <v>71</v>
      </c>
      <c r="N141" s="14" t="s">
        <v>364</v>
      </c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22"/>
      <c r="AA141" s="22"/>
      <c r="AB141" s="22"/>
      <c r="AC141" s="22"/>
      <c r="AD141" s="22"/>
    </row>
    <row r="142">
      <c r="A142" s="21">
        <v>141.0</v>
      </c>
      <c r="B142" s="32" t="s">
        <v>379</v>
      </c>
      <c r="C142" s="16" t="str">
        <f>IFERROR(__xludf.DUMMYFUNCTION("XLOOKUP(B142,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""-"")"),"PONMUTHU SEBU S B")</f>
        <v>PONMUTHU SEBU S B</v>
      </c>
      <c r="D142" s="17" t="str">
        <f>IFERROR(__xludf.DUMMYFUNCTION("XLOOKUP(B142,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2" s="33" t="s">
        <v>189</v>
      </c>
      <c r="F142" s="14">
        <v>3.0</v>
      </c>
      <c r="G142" s="14" t="s">
        <v>59</v>
      </c>
      <c r="H142" s="14"/>
      <c r="I142" s="14" t="s">
        <v>136</v>
      </c>
      <c r="J142" s="14" t="s">
        <v>99</v>
      </c>
      <c r="K142" s="17" t="str">
        <f>IFERROR(__xludf.DUMMYFUNCTION("XLOOKUP(B142,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""-"")"),"ponmuthusebusb.me23@bitsathy.ac.in")</f>
        <v>ponmuthusebusb.me23@bitsathy.ac.in</v>
      </c>
      <c r="L142" s="21" t="str">
        <f>IFERROR(__xludf.DUMMYFUNCTION("XLOOKUP(B142,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""-"")"),"6369498717")</f>
        <v>6369498717</v>
      </c>
      <c r="M142" s="14" t="s">
        <v>71</v>
      </c>
      <c r="N142" s="14" t="s">
        <v>364</v>
      </c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22"/>
      <c r="AA142" s="22"/>
      <c r="AB142" s="22"/>
      <c r="AC142" s="22"/>
      <c r="AD142" s="22"/>
    </row>
    <row r="143">
      <c r="A143" s="21">
        <v>142.0</v>
      </c>
      <c r="B143" s="32" t="s">
        <v>380</v>
      </c>
      <c r="C143" s="16" t="str">
        <f>IFERROR(__xludf.DUMMYFUNCTION("XLOOKUP(B143,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""-"")"),"RUPAK  N")</f>
        <v>RUPAK  N</v>
      </c>
      <c r="D143" s="17" t="str">
        <f>IFERROR(__xludf.DUMMYFUNCTION("XLOOKUP(B143,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3" s="33" t="s">
        <v>189</v>
      </c>
      <c r="F143" s="14">
        <v>3.0</v>
      </c>
      <c r="G143" s="14" t="s">
        <v>59</v>
      </c>
      <c r="H143" s="14"/>
      <c r="I143" s="14" t="s">
        <v>136</v>
      </c>
      <c r="J143" s="14" t="s">
        <v>99</v>
      </c>
      <c r="K143" s="17" t="str">
        <f>IFERROR(__xludf.DUMMYFUNCTION("XLOOKUP(B143,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""-"")"),"rupak.me23@bitsathy.ac.in")</f>
        <v>rupak.me23@bitsathy.ac.in</v>
      </c>
      <c r="L143" s="21" t="str">
        <f>IFERROR(__xludf.DUMMYFUNCTION("XLOOKUP(B143,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""-"")"),"9698726696")</f>
        <v>9698726696</v>
      </c>
      <c r="M143" s="14" t="s">
        <v>71</v>
      </c>
      <c r="N143" s="14" t="s">
        <v>364</v>
      </c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22"/>
      <c r="AA143" s="22"/>
      <c r="AB143" s="22"/>
      <c r="AC143" s="22"/>
      <c r="AD143" s="22"/>
    </row>
    <row r="144">
      <c r="A144" s="21">
        <v>143.0</v>
      </c>
      <c r="B144" s="32" t="s">
        <v>381</v>
      </c>
      <c r="C144" s="16" t="str">
        <f>IFERROR(__xludf.DUMMYFUNCTION("XLOOKUP(B144,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""-"")"),"SACHIN  J S")</f>
        <v>SACHIN  J S</v>
      </c>
      <c r="D144" s="17" t="str">
        <f>IFERROR(__xludf.DUMMYFUNCTION("XLOOKUP(B144,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4" s="33" t="s">
        <v>189</v>
      </c>
      <c r="F144" s="14">
        <v>3.0</v>
      </c>
      <c r="G144" s="14" t="s">
        <v>59</v>
      </c>
      <c r="H144" s="14"/>
      <c r="I144" s="14" t="s">
        <v>136</v>
      </c>
      <c r="J144" s="14" t="s">
        <v>99</v>
      </c>
      <c r="K144" s="17" t="str">
        <f>IFERROR(__xludf.DUMMYFUNCTION("XLOOKUP(B144,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""-"")"),"sachinjs.me23@bitsathy.ac.in")</f>
        <v>sachinjs.me23@bitsathy.ac.in</v>
      </c>
      <c r="L144" s="21" t="str">
        <f>IFERROR(__xludf.DUMMYFUNCTION("XLOOKUP(B144,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""-"")"),"9344726825")</f>
        <v>9344726825</v>
      </c>
      <c r="M144" s="14" t="s">
        <v>71</v>
      </c>
      <c r="N144" s="14" t="s">
        <v>364</v>
      </c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22"/>
      <c r="AA144" s="22"/>
      <c r="AB144" s="22"/>
      <c r="AC144" s="22"/>
      <c r="AD144" s="22"/>
    </row>
    <row r="145">
      <c r="A145" s="21">
        <v>144.0</v>
      </c>
      <c r="B145" s="32" t="s">
        <v>382</v>
      </c>
      <c r="C145" s="16" t="str">
        <f>IFERROR(__xludf.DUMMYFUNCTION("XLOOKUP(B145,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 M")</f>
        <v>SIVA M</v>
      </c>
      <c r="D145" s="17" t="str">
        <f>IFERROR(__xludf.DUMMYFUNCTION("XLOOKUP(B145,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5" s="33" t="s">
        <v>189</v>
      </c>
      <c r="F145" s="14">
        <v>3.0</v>
      </c>
      <c r="G145" s="14" t="s">
        <v>59</v>
      </c>
      <c r="H145" s="14"/>
      <c r="I145" s="14" t="s">
        <v>136</v>
      </c>
      <c r="J145" s="14" t="s">
        <v>99</v>
      </c>
      <c r="K145" s="17" t="str">
        <f>IFERROR(__xludf.DUMMYFUNCTION("XLOOKUP(B145,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""-"")"),"siva.me23@bitsathy.ac.in")</f>
        <v>siva.me23@bitsathy.ac.in</v>
      </c>
      <c r="L145" s="21" t="str">
        <f>IFERROR(__xludf.DUMMYFUNCTION("XLOOKUP(B145,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""-"")"),"6369384417")</f>
        <v>6369384417</v>
      </c>
      <c r="M145" s="14" t="s">
        <v>71</v>
      </c>
      <c r="N145" s="14" t="s">
        <v>364</v>
      </c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22"/>
      <c r="AA145" s="22"/>
      <c r="AB145" s="22"/>
      <c r="AC145" s="22"/>
      <c r="AD145" s="22"/>
    </row>
    <row r="146">
      <c r="A146" s="21">
        <v>145.0</v>
      </c>
      <c r="B146" s="32" t="s">
        <v>383</v>
      </c>
      <c r="C146" s="16" t="str">
        <f>IFERROR(__xludf.DUMMYFUNCTION("XLOOKUP(B146,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""-"")"),"SYED ZUHAIR A")</f>
        <v>SYED ZUHAIR A</v>
      </c>
      <c r="D146" s="17" t="str">
        <f>IFERROR(__xludf.DUMMYFUNCTION("XLOOKUP(B146,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6" s="33" t="s">
        <v>189</v>
      </c>
      <c r="F146" s="14">
        <v>3.0</v>
      </c>
      <c r="G146" s="14" t="s">
        <v>59</v>
      </c>
      <c r="H146" s="14"/>
      <c r="I146" s="14" t="s">
        <v>136</v>
      </c>
      <c r="J146" s="14" t="s">
        <v>99</v>
      </c>
      <c r="K146" s="17" t="str">
        <f>IFERROR(__xludf.DUMMYFUNCTION("XLOOKUP(B146,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""-"")"),"syedzuhair.me23@bitsathy.ac.in")</f>
        <v>syedzuhair.me23@bitsathy.ac.in</v>
      </c>
      <c r="L146" s="21" t="str">
        <f>IFERROR(__xludf.DUMMYFUNCTION("XLOOKUP(B146,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""-"")"),"8220795566")</f>
        <v>8220795566</v>
      </c>
      <c r="M146" s="14" t="s">
        <v>71</v>
      </c>
      <c r="N146" s="14" t="s">
        <v>364</v>
      </c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22"/>
      <c r="AA146" s="22"/>
      <c r="AB146" s="22"/>
      <c r="AC146" s="22"/>
      <c r="AD146" s="22"/>
    </row>
    <row r="147">
      <c r="A147" s="21">
        <v>146.0</v>
      </c>
      <c r="B147" s="32" t="s">
        <v>384</v>
      </c>
      <c r="C147" s="16" t="str">
        <f>IFERROR(__xludf.DUMMYFUNCTION("XLOOKUP(B147,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""-"")"),"ARUNKUMAR S")</f>
        <v>ARUNKUMAR S</v>
      </c>
      <c r="D147" s="17" t="str">
        <f>IFERROR(__xludf.DUMMYFUNCTION("XLOOKUP(B147,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7" s="33" t="s">
        <v>189</v>
      </c>
      <c r="F147" s="14">
        <v>3.0</v>
      </c>
      <c r="G147" s="14" t="s">
        <v>59</v>
      </c>
      <c r="H147" s="14"/>
      <c r="I147" s="14" t="s">
        <v>136</v>
      </c>
      <c r="J147" s="14" t="s">
        <v>99</v>
      </c>
      <c r="K147" s="17" t="str">
        <f>IFERROR(__xludf.DUMMYFUNCTION("XLOOKUP(B147,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""-"")"),"arunkumars.me23@bitsathy.ac.in")</f>
        <v>arunkumars.me23@bitsathy.ac.in</v>
      </c>
      <c r="L147" s="21" t="str">
        <f>IFERROR(__xludf.DUMMYFUNCTION("XLOOKUP(B147,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""-"")"),"7200103575")</f>
        <v>7200103575</v>
      </c>
      <c r="M147" s="14" t="s">
        <v>71</v>
      </c>
      <c r="N147" s="14" t="s">
        <v>364</v>
      </c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22"/>
      <c r="AA147" s="22"/>
      <c r="AB147" s="22"/>
      <c r="AC147" s="22"/>
      <c r="AD147" s="22"/>
    </row>
    <row r="148">
      <c r="A148" s="21">
        <v>147.0</v>
      </c>
      <c r="B148" s="32" t="s">
        <v>385</v>
      </c>
      <c r="C148" s="16" t="str">
        <f>IFERROR(__xludf.DUMMYFUNCTION("XLOOKUP(B148,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""-"")"),"SREE VISHNU R G")</f>
        <v>SREE VISHNU R G</v>
      </c>
      <c r="D148" s="17" t="str">
        <f>IFERROR(__xludf.DUMMYFUNCTION("XLOOKUP(B148,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48" s="33" t="s">
        <v>189</v>
      </c>
      <c r="F148" s="14">
        <v>3.0</v>
      </c>
      <c r="G148" s="14" t="s">
        <v>59</v>
      </c>
      <c r="H148" s="14"/>
      <c r="I148" s="14" t="s">
        <v>136</v>
      </c>
      <c r="J148" s="14" t="s">
        <v>99</v>
      </c>
      <c r="K148" s="17" t="str">
        <f>IFERROR(__xludf.DUMMYFUNCTION("XLOOKUP(B148,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""-"")"),"sreevishnurg.me23@bitsathy.ac.in")</f>
        <v>sreevishnurg.me23@bitsathy.ac.in</v>
      </c>
      <c r="L148" s="21" t="str">
        <f>IFERROR(__xludf.DUMMYFUNCTION("XLOOKUP(B148,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""-"")"),"7339174355")</f>
        <v>7339174355</v>
      </c>
      <c r="M148" s="14" t="s">
        <v>71</v>
      </c>
      <c r="N148" s="14" t="s">
        <v>364</v>
      </c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22"/>
      <c r="AA148" s="22"/>
      <c r="AB148" s="22"/>
      <c r="AC148" s="22"/>
      <c r="AD148" s="22"/>
    </row>
    <row r="149">
      <c r="A149" s="21">
        <v>148.0</v>
      </c>
      <c r="B149" s="32" t="s">
        <v>386</v>
      </c>
      <c r="C149" s="16" t="str">
        <f>IFERROR(__xludf.DUMMYFUNCTION("XLOOKUP(B149,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""-"")"),"DHARUN S")</f>
        <v>DHARUN S</v>
      </c>
      <c r="D149" s="17" t="str">
        <f>IFERROR(__xludf.DUMMYFUNCTION("XLOOKUP(B149,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49" s="33" t="s">
        <v>189</v>
      </c>
      <c r="F149" s="14">
        <v>3.0</v>
      </c>
      <c r="G149" s="14" t="s">
        <v>59</v>
      </c>
      <c r="H149" s="14"/>
      <c r="I149" s="14" t="s">
        <v>136</v>
      </c>
      <c r="J149" s="14" t="s">
        <v>99</v>
      </c>
      <c r="K149" s="17" t="str">
        <f>IFERROR(__xludf.DUMMYFUNCTION("XLOOKUP(B149,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""-"")"),"dharuns.mz23@bitsathy.ac.in")</f>
        <v>dharuns.mz23@bitsathy.ac.in</v>
      </c>
      <c r="L149" s="21" t="str">
        <f>IFERROR(__xludf.DUMMYFUNCTION("XLOOKUP(B149,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""-"")"),"9361871637")</f>
        <v>9361871637</v>
      </c>
      <c r="M149" s="14" t="s">
        <v>71</v>
      </c>
      <c r="N149" s="14" t="s">
        <v>364</v>
      </c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22"/>
      <c r="AA149" s="22"/>
      <c r="AB149" s="22"/>
      <c r="AC149" s="22"/>
      <c r="AD149" s="22"/>
    </row>
    <row r="150">
      <c r="A150" s="21">
        <v>149.0</v>
      </c>
      <c r="B150" s="32" t="s">
        <v>387</v>
      </c>
      <c r="C150" s="16" t="str">
        <f>IFERROR(__xludf.DUMMYFUNCTION("XLOOKUP(B150,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""-"")"),"HARIKRISHNAN M")</f>
        <v>HARIKRISHNAN M</v>
      </c>
      <c r="D150" s="17" t="str">
        <f>IFERROR(__xludf.DUMMYFUNCTION("XLOOKUP(B150,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0" s="33" t="s">
        <v>189</v>
      </c>
      <c r="F150" s="14">
        <v>3.0</v>
      </c>
      <c r="G150" s="14" t="s">
        <v>59</v>
      </c>
      <c r="H150" s="14"/>
      <c r="I150" s="14" t="s">
        <v>136</v>
      </c>
      <c r="J150" s="14" t="s">
        <v>99</v>
      </c>
      <c r="K150" s="17" t="str">
        <f>IFERROR(__xludf.DUMMYFUNCTION("XLOOKUP(B150,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""-"")"),"harikrishnanm.mz23@bitsathy.ac.in")</f>
        <v>harikrishnanm.mz23@bitsathy.ac.in</v>
      </c>
      <c r="L150" s="21" t="str">
        <f>IFERROR(__xludf.DUMMYFUNCTION("XLOOKUP(B150,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""-"")"),"8148295257")</f>
        <v>8148295257</v>
      </c>
      <c r="M150" s="14" t="s">
        <v>71</v>
      </c>
      <c r="N150" s="14" t="s">
        <v>364</v>
      </c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22"/>
      <c r="AA150" s="22"/>
      <c r="AB150" s="22"/>
      <c r="AC150" s="22"/>
      <c r="AD150" s="22"/>
    </row>
    <row r="151">
      <c r="A151" s="21">
        <v>150.0</v>
      </c>
      <c r="B151" s="32" t="s">
        <v>388</v>
      </c>
      <c r="C151" s="16" t="str">
        <f>IFERROR(__xludf.DUMMYFUNCTION("XLOOKUP(B151,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""-"")"),"MUGILAN P P")</f>
        <v>MUGILAN P P</v>
      </c>
      <c r="D151" s="17" t="str">
        <f>IFERROR(__xludf.DUMMYFUNCTION("XLOOKUP(B151,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1" s="33" t="s">
        <v>189</v>
      </c>
      <c r="F151" s="14">
        <v>3.0</v>
      </c>
      <c r="G151" s="14" t="s">
        <v>59</v>
      </c>
      <c r="H151" s="14"/>
      <c r="I151" s="14" t="s">
        <v>136</v>
      </c>
      <c r="J151" s="14" t="s">
        <v>99</v>
      </c>
      <c r="K151" s="17" t="str">
        <f>IFERROR(__xludf.DUMMYFUNCTION("XLOOKUP(B151,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""-"")"),"mugilan.mz23@bitsathy.ac.in")</f>
        <v>mugilan.mz23@bitsathy.ac.in</v>
      </c>
      <c r="L151" s="21" t="str">
        <f>IFERROR(__xludf.DUMMYFUNCTION("XLOOKUP(B151,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""-"")"),"7010813945")</f>
        <v>7010813945</v>
      </c>
      <c r="M151" s="14" t="s">
        <v>71</v>
      </c>
      <c r="N151" s="14" t="s">
        <v>364</v>
      </c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22"/>
      <c r="AA151" s="22"/>
      <c r="AB151" s="22"/>
      <c r="AC151" s="22"/>
      <c r="AD151" s="22"/>
    </row>
    <row r="152">
      <c r="A152" s="21">
        <v>151.0</v>
      </c>
      <c r="B152" s="32" t="s">
        <v>389</v>
      </c>
      <c r="C152" s="16" t="str">
        <f>IFERROR(__xludf.DUMMYFUNCTION("XLOOKUP(B152,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""-"")"),"NAVEENPRABHU S")</f>
        <v>NAVEENPRABHU S</v>
      </c>
      <c r="D152" s="17" t="str">
        <f>IFERROR(__xludf.DUMMYFUNCTION("XLOOKUP(B152,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2" s="33" t="s">
        <v>189</v>
      </c>
      <c r="F152" s="14">
        <v>3.0</v>
      </c>
      <c r="G152" s="14" t="s">
        <v>59</v>
      </c>
      <c r="H152" s="14"/>
      <c r="I152" s="14" t="s">
        <v>136</v>
      </c>
      <c r="J152" s="14" t="s">
        <v>99</v>
      </c>
      <c r="K152" s="17" t="str">
        <f>IFERROR(__xludf.DUMMYFUNCTION("XLOOKUP(B152,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""-"")"),"naveenprabhu.mz23@bitsathy.ac.in")</f>
        <v>naveenprabhu.mz23@bitsathy.ac.in</v>
      </c>
      <c r="L152" s="21" t="str">
        <f>IFERROR(__xludf.DUMMYFUNCTION("XLOOKUP(B152,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""-"")"),"9751448725")</f>
        <v>9751448725</v>
      </c>
      <c r="M152" s="14" t="s">
        <v>71</v>
      </c>
      <c r="N152" s="14" t="s">
        <v>364</v>
      </c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22"/>
      <c r="AA152" s="22"/>
      <c r="AB152" s="22"/>
      <c r="AC152" s="22"/>
      <c r="AD152" s="22"/>
    </row>
    <row r="153">
      <c r="A153" s="21">
        <v>152.0</v>
      </c>
      <c r="B153" s="32" t="s">
        <v>390</v>
      </c>
      <c r="C153" s="16" t="str">
        <f>IFERROR(__xludf.DUMMYFUNCTION("XLOOKUP(B153,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""-"")"),"RAMANAN N")</f>
        <v>RAMANAN N</v>
      </c>
      <c r="D153" s="17" t="str">
        <f>IFERROR(__xludf.DUMMYFUNCTION("XLOOKUP(B153,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3" s="33" t="s">
        <v>189</v>
      </c>
      <c r="F153" s="14">
        <v>3.0</v>
      </c>
      <c r="G153" s="14" t="s">
        <v>59</v>
      </c>
      <c r="H153" s="14"/>
      <c r="I153" s="14" t="s">
        <v>136</v>
      </c>
      <c r="J153" s="14" t="s">
        <v>99</v>
      </c>
      <c r="K153" s="17" t="str">
        <f>IFERROR(__xludf.DUMMYFUNCTION("XLOOKUP(B153,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""-"")"),"ramanan.mz23@bitsathy.ac.in")</f>
        <v>ramanan.mz23@bitsathy.ac.in</v>
      </c>
      <c r="L153" s="21" t="str">
        <f>IFERROR(__xludf.DUMMYFUNCTION("XLOOKUP(B153,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""-"")"),"9080468472")</f>
        <v>9080468472</v>
      </c>
      <c r="M153" s="14" t="s">
        <v>71</v>
      </c>
      <c r="N153" s="14" t="s">
        <v>364</v>
      </c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22"/>
      <c r="AA153" s="22"/>
      <c r="AB153" s="22"/>
      <c r="AC153" s="22"/>
      <c r="AD153" s="22"/>
    </row>
    <row r="154">
      <c r="A154" s="21">
        <v>153.0</v>
      </c>
      <c r="B154" s="32" t="s">
        <v>391</v>
      </c>
      <c r="C154" s="16" t="str">
        <f>IFERROR(__xludf.DUMMYFUNCTION("XLOOKUP(B154,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""-"")"),"REGIN L")</f>
        <v>REGIN L</v>
      </c>
      <c r="D154" s="17" t="str">
        <f>IFERROR(__xludf.DUMMYFUNCTION("XLOOKUP(B154,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4" s="33" t="s">
        <v>189</v>
      </c>
      <c r="F154" s="14">
        <v>3.0</v>
      </c>
      <c r="G154" s="14" t="s">
        <v>59</v>
      </c>
      <c r="H154" s="14"/>
      <c r="I154" s="14" t="s">
        <v>136</v>
      </c>
      <c r="J154" s="14" t="s">
        <v>99</v>
      </c>
      <c r="K154" s="17" t="str">
        <f>IFERROR(__xludf.DUMMYFUNCTION("XLOOKUP(B154,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""-"")"),"reginl.mz23@bitsathy.ac.in")</f>
        <v>reginl.mz23@bitsathy.ac.in</v>
      </c>
      <c r="L154" s="21" t="str">
        <f>IFERROR(__xludf.DUMMYFUNCTION("XLOOKUP(B154,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""-"")"),"7010173046")</f>
        <v>7010173046</v>
      </c>
      <c r="M154" s="14" t="s">
        <v>71</v>
      </c>
      <c r="N154" s="14" t="s">
        <v>364</v>
      </c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22"/>
      <c r="AA154" s="22"/>
      <c r="AB154" s="22"/>
      <c r="AC154" s="22"/>
      <c r="AD154" s="22"/>
    </row>
    <row r="155">
      <c r="A155" s="21">
        <v>154.0</v>
      </c>
      <c r="B155" s="32" t="s">
        <v>392</v>
      </c>
      <c r="C155" s="16" t="str">
        <f>IFERROR(__xludf.DUMMYFUNCTION("XLOOKUP(B155,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""-"")"),"SANJEEVKUMAR S")</f>
        <v>SANJEEVKUMAR S</v>
      </c>
      <c r="D155" s="17" t="str">
        <f>IFERROR(__xludf.DUMMYFUNCTION("XLOOKUP(B155,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5" s="33" t="s">
        <v>189</v>
      </c>
      <c r="F155" s="14">
        <v>3.0</v>
      </c>
      <c r="G155" s="14" t="s">
        <v>59</v>
      </c>
      <c r="H155" s="14"/>
      <c r="I155" s="14" t="s">
        <v>136</v>
      </c>
      <c r="J155" s="14" t="s">
        <v>99</v>
      </c>
      <c r="K155" s="17" t="str">
        <f>IFERROR(__xludf.DUMMYFUNCTION("XLOOKUP(B155,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""-"")"),"sanjeevkumar.mz23@bitsathy.ac.in")</f>
        <v>sanjeevkumar.mz23@bitsathy.ac.in</v>
      </c>
      <c r="L155" s="21" t="str">
        <f>IFERROR(__xludf.DUMMYFUNCTION("XLOOKUP(B155,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""-"")"),"6383592027")</f>
        <v>6383592027</v>
      </c>
      <c r="M155" s="14" t="s">
        <v>71</v>
      </c>
      <c r="N155" s="14" t="s">
        <v>364</v>
      </c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22"/>
      <c r="AA155" s="22"/>
      <c r="AB155" s="22"/>
      <c r="AC155" s="22"/>
      <c r="AD155" s="22"/>
    </row>
    <row r="156">
      <c r="A156" s="21">
        <v>155.0</v>
      </c>
      <c r="B156" s="32" t="s">
        <v>393</v>
      </c>
      <c r="C156" s="16" t="str">
        <f>IFERROR(__xludf.DUMMYFUNCTION("XLOOKUP(B156,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""-"")"),"SIVASAKTHI G")</f>
        <v>SIVASAKTHI G</v>
      </c>
      <c r="D156" s="17" t="str">
        <f>IFERROR(__xludf.DUMMYFUNCTION("XLOOKUP(B156,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6" s="33" t="s">
        <v>189</v>
      </c>
      <c r="F156" s="14">
        <v>3.0</v>
      </c>
      <c r="G156" s="14" t="s">
        <v>59</v>
      </c>
      <c r="H156" s="14"/>
      <c r="I156" s="14" t="s">
        <v>136</v>
      </c>
      <c r="J156" s="14" t="s">
        <v>99</v>
      </c>
      <c r="K156" s="17" t="str">
        <f>IFERROR(__xludf.DUMMYFUNCTION("XLOOKUP(B156,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""-"")"),"sivasakthi.mz23@bitsathy.ac.in")</f>
        <v>sivasakthi.mz23@bitsathy.ac.in</v>
      </c>
      <c r="L156" s="21" t="str">
        <f>IFERROR(__xludf.DUMMYFUNCTION("XLOOKUP(B156,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""-"")"),"9345127824")</f>
        <v>9345127824</v>
      </c>
      <c r="M156" s="14" t="s">
        <v>71</v>
      </c>
      <c r="N156" s="14" t="s">
        <v>364</v>
      </c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22"/>
      <c r="AA156" s="22"/>
      <c r="AB156" s="22"/>
      <c r="AC156" s="22"/>
      <c r="AD156" s="22"/>
    </row>
    <row r="157">
      <c r="A157" s="21">
        <v>156.0</v>
      </c>
      <c r="B157" s="32" t="s">
        <v>394</v>
      </c>
      <c r="C157" s="16" t="str">
        <f>IFERROR(__xludf.DUMMYFUNCTION("XLOOKUP(B157,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""-"")"),"VIDHYA S")</f>
        <v>VIDHYA S</v>
      </c>
      <c r="D157" s="17" t="str">
        <f>IFERROR(__xludf.DUMMYFUNCTION("XLOOKUP(B157,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7" s="33" t="s">
        <v>189</v>
      </c>
      <c r="F157" s="14">
        <v>3.0</v>
      </c>
      <c r="G157" s="14" t="s">
        <v>59</v>
      </c>
      <c r="H157" s="14"/>
      <c r="I157" s="14" t="s">
        <v>136</v>
      </c>
      <c r="J157" s="14" t="s">
        <v>99</v>
      </c>
      <c r="K157" s="17" t="str">
        <f>IFERROR(__xludf.DUMMYFUNCTION("XLOOKUP(B157,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""-"")"),"vidhya.mz23@bitsathy.ac.in")</f>
        <v>vidhya.mz23@bitsathy.ac.in</v>
      </c>
      <c r="L157" s="21" t="str">
        <f>IFERROR(__xludf.DUMMYFUNCTION("XLOOKUP(B157,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""-"")"),"9952696832")</f>
        <v>9952696832</v>
      </c>
      <c r="M157" s="14" t="s">
        <v>71</v>
      </c>
      <c r="N157" s="14" t="s">
        <v>364</v>
      </c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22"/>
      <c r="AA157" s="22"/>
      <c r="AB157" s="22"/>
      <c r="AC157" s="22"/>
      <c r="AD157" s="22"/>
    </row>
    <row r="158">
      <c r="A158" s="21">
        <v>157.0</v>
      </c>
      <c r="B158" s="32" t="s">
        <v>395</v>
      </c>
      <c r="C158" s="16" t="str">
        <f>IFERROR(__xludf.DUMMYFUNCTION("XLOOKUP(B158,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""-"")"),"VIKASH P")</f>
        <v>VIKASH P</v>
      </c>
      <c r="D158" s="17" t="str">
        <f>IFERROR(__xludf.DUMMYFUNCTION("XLOOKUP(B158,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8" s="33" t="s">
        <v>189</v>
      </c>
      <c r="F158" s="14">
        <v>3.0</v>
      </c>
      <c r="G158" s="14" t="s">
        <v>59</v>
      </c>
      <c r="H158" s="14"/>
      <c r="I158" s="14" t="s">
        <v>136</v>
      </c>
      <c r="J158" s="14" t="s">
        <v>99</v>
      </c>
      <c r="K158" s="17" t="str">
        <f>IFERROR(__xludf.DUMMYFUNCTION("XLOOKUP(B158,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""-"")"),"vikash.mz23@bitsathy.ac.in")</f>
        <v>vikash.mz23@bitsathy.ac.in</v>
      </c>
      <c r="L158" s="21" t="str">
        <f>IFERROR(__xludf.DUMMYFUNCTION("XLOOKUP(B158,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""-"")"),"6385043139")</f>
        <v>6385043139</v>
      </c>
      <c r="M158" s="14" t="s">
        <v>71</v>
      </c>
      <c r="N158" s="14" t="s">
        <v>364</v>
      </c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22"/>
      <c r="AA158" s="22"/>
      <c r="AB158" s="22"/>
      <c r="AC158" s="22"/>
      <c r="AD158" s="22"/>
    </row>
    <row r="159">
      <c r="A159" s="21">
        <v>158.0</v>
      </c>
      <c r="B159" s="32" t="s">
        <v>396</v>
      </c>
      <c r="C159" s="16" t="str">
        <f>IFERROR(__xludf.DUMMYFUNCTION("XLOOKUP(B159,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""-"")"),"BALAMURUGAN  G")</f>
        <v>BALAMURUGAN  G</v>
      </c>
      <c r="D159" s="17" t="str">
        <f>IFERROR(__xludf.DUMMYFUNCTION("XLOOKUP(B159,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59" s="33" t="s">
        <v>189</v>
      </c>
      <c r="F159" s="14">
        <v>3.0</v>
      </c>
      <c r="G159" s="14" t="s">
        <v>59</v>
      </c>
      <c r="H159" s="14"/>
      <c r="I159" s="14" t="s">
        <v>136</v>
      </c>
      <c r="J159" s="14" t="s">
        <v>99</v>
      </c>
      <c r="K159" s="17" t="str">
        <f>IFERROR(__xludf.DUMMYFUNCTION("XLOOKUP(B159,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""-"")"),"balamurugang.mz23@bitsathy.ac.in")</f>
        <v>balamurugang.mz23@bitsathy.ac.in</v>
      </c>
      <c r="L159" s="21" t="str">
        <f>IFERROR(__xludf.DUMMYFUNCTION("XLOOKUP(B159,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""-"")"),"9597984488")</f>
        <v>9597984488</v>
      </c>
      <c r="M159" s="14" t="s">
        <v>71</v>
      </c>
      <c r="N159" s="14" t="s">
        <v>364</v>
      </c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22"/>
      <c r="AA159" s="22"/>
      <c r="AB159" s="22"/>
      <c r="AC159" s="22"/>
      <c r="AD159" s="22"/>
    </row>
    <row r="160">
      <c r="A160" s="21">
        <v>159.0</v>
      </c>
      <c r="B160" s="32" t="s">
        <v>397</v>
      </c>
      <c r="C160" s="16" t="str">
        <f>IFERROR(__xludf.DUMMYFUNCTION("XLOOKUP(B160,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""-"")"),"KAVILESH R")</f>
        <v>KAVILESH R</v>
      </c>
      <c r="D160" s="17" t="str">
        <f>IFERROR(__xludf.DUMMYFUNCTION("XLOOKUP(B160,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60" s="33" t="s">
        <v>189</v>
      </c>
      <c r="F160" s="14">
        <v>3.0</v>
      </c>
      <c r="G160" s="14" t="s">
        <v>59</v>
      </c>
      <c r="H160" s="14"/>
      <c r="I160" s="14" t="s">
        <v>136</v>
      </c>
      <c r="J160" s="14" t="s">
        <v>99</v>
      </c>
      <c r="K160" s="17" t="str">
        <f>IFERROR(__xludf.DUMMYFUNCTION("XLOOKUP(B160,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""-"")"),"kavilesh.mz23@bitsathy.ac.in")</f>
        <v>kavilesh.mz23@bitsathy.ac.in</v>
      </c>
      <c r="L160" s="21" t="str">
        <f>IFERROR(__xludf.DUMMYFUNCTION("XLOOKUP(B160,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""-"")"),"9345573978")</f>
        <v>9345573978</v>
      </c>
      <c r="M160" s="14" t="s">
        <v>71</v>
      </c>
      <c r="N160" s="14" t="s">
        <v>364</v>
      </c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22"/>
      <c r="AA160" s="22"/>
      <c r="AB160" s="22"/>
      <c r="AC160" s="22"/>
      <c r="AD160" s="22"/>
    </row>
    <row r="161">
      <c r="A161" s="21">
        <v>160.0</v>
      </c>
      <c r="B161" s="32" t="s">
        <v>398</v>
      </c>
      <c r="C161" s="16" t="str">
        <f>IFERROR(__xludf.DUMMYFUNCTION("XLOOKUP(B161,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VAISHNAVI B")</f>
        <v>SRI VAISHNAVI B</v>
      </c>
      <c r="D161" s="17" t="str">
        <f>IFERROR(__xludf.DUMMYFUNCTION("XLOOKUP(B161,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61" s="33" t="s">
        <v>189</v>
      </c>
      <c r="F161" s="14">
        <v>3.0</v>
      </c>
      <c r="G161" s="14" t="s">
        <v>59</v>
      </c>
      <c r="H161" s="14"/>
      <c r="I161" s="14" t="s">
        <v>136</v>
      </c>
      <c r="J161" s="14" t="s">
        <v>99</v>
      </c>
      <c r="K161" s="17" t="str">
        <f>IFERROR(__xludf.DUMMYFUNCTION("XLOOKUP(B161,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""-"")"),"srivaishnavi.mz23@bitsathy.ac.in")</f>
        <v>srivaishnavi.mz23@bitsathy.ac.in</v>
      </c>
      <c r="L161" s="21" t="str">
        <f>IFERROR(__xludf.DUMMYFUNCTION("XLOOKUP(B161,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""-"")"),"7305901046")</f>
        <v>7305901046</v>
      </c>
      <c r="M161" s="14" t="s">
        <v>71</v>
      </c>
      <c r="N161" s="14" t="s">
        <v>364</v>
      </c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22"/>
      <c r="AA161" s="22"/>
      <c r="AB161" s="22"/>
      <c r="AC161" s="22"/>
      <c r="AD161" s="22"/>
    </row>
    <row r="162">
      <c r="A162" s="21">
        <v>161.0</v>
      </c>
      <c r="B162" s="32" t="s">
        <v>399</v>
      </c>
      <c r="C162" s="16" t="str">
        <f>IFERROR(__xludf.DUMMYFUNCTION("XLOOKUP(B162,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""-"")"),"NITHISHKUMAR P")</f>
        <v>NITHISHKUMAR P</v>
      </c>
      <c r="D162" s="17" t="str">
        <f>IFERROR(__xludf.DUMMYFUNCTION("XLOOKUP(B162,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62" s="33" t="s">
        <v>189</v>
      </c>
      <c r="F162" s="14">
        <v>3.0</v>
      </c>
      <c r="G162" s="14" t="s">
        <v>59</v>
      </c>
      <c r="H162" s="14"/>
      <c r="I162" s="14" t="s">
        <v>136</v>
      </c>
      <c r="J162" s="14" t="s">
        <v>99</v>
      </c>
      <c r="K162" s="17" t="str">
        <f>IFERROR(__xludf.DUMMYFUNCTION("XLOOKUP(B162,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""-"")"),"nithishkumarp.mz23@bitsathy.ac.in")</f>
        <v>nithishkumarp.mz23@bitsathy.ac.in</v>
      </c>
      <c r="L162" s="21" t="str">
        <f>IFERROR(__xludf.DUMMYFUNCTION("XLOOKUP(B162,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""-"")"),"7010038613")</f>
        <v>7010038613</v>
      </c>
      <c r="M162" s="14" t="s">
        <v>71</v>
      </c>
      <c r="N162" s="14" t="s">
        <v>364</v>
      </c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22"/>
      <c r="AA162" s="22"/>
      <c r="AB162" s="22"/>
      <c r="AC162" s="22"/>
      <c r="AD162" s="22"/>
    </row>
    <row r="163">
      <c r="A163" s="21">
        <v>162.0</v>
      </c>
      <c r="B163" s="32" t="s">
        <v>400</v>
      </c>
      <c r="C163" s="16" t="str">
        <f>IFERROR(__xludf.DUMMYFUNCTION("XLOOKUP(B163,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""-"")"),"ANUJA N")</f>
        <v>ANUJA N</v>
      </c>
      <c r="D163" s="17" t="str">
        <f>IFERROR(__xludf.DUMMYFUNCTION("XLOOKUP(B163,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163" s="33" t="s">
        <v>150</v>
      </c>
      <c r="F163" s="14">
        <v>3.5</v>
      </c>
      <c r="G163" s="14" t="s">
        <v>59</v>
      </c>
      <c r="H163" s="14"/>
      <c r="I163" s="14" t="s">
        <v>136</v>
      </c>
      <c r="J163" s="14" t="s">
        <v>63</v>
      </c>
      <c r="K163" s="17" t="str">
        <f>IFERROR(__xludf.DUMMYFUNCTION("XLOOKUP(B163,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""-"")"),"anuja.ee23@bitsathy.ac.in")</f>
        <v>anuja.ee23@bitsathy.ac.in</v>
      </c>
      <c r="L163" s="21" t="str">
        <f>IFERROR(__xludf.DUMMYFUNCTION("XLOOKUP(B163,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""-"")"),"8940564635")</f>
        <v>8940564635</v>
      </c>
      <c r="M163" s="14" t="s">
        <v>71</v>
      </c>
      <c r="N163" s="14" t="s">
        <v>401</v>
      </c>
      <c r="O163" s="34"/>
      <c r="P163" s="34"/>
      <c r="Q163" s="34"/>
      <c r="R163" s="34"/>
      <c r="S163" s="34"/>
      <c r="T163" s="34"/>
      <c r="U163" s="34"/>
      <c r="V163" s="34"/>
      <c r="W163" s="34"/>
      <c r="X163" s="35" t="s">
        <v>402</v>
      </c>
      <c r="Y163" s="34"/>
      <c r="Z163" s="22"/>
      <c r="AA163" s="22"/>
      <c r="AB163" s="22"/>
      <c r="AC163" s="22"/>
      <c r="AD163" s="22"/>
    </row>
    <row r="164">
      <c r="A164" s="21">
        <v>163.0</v>
      </c>
      <c r="B164" s="32" t="s">
        <v>403</v>
      </c>
      <c r="C164" s="16" t="str">
        <f>IFERROR(__xludf.DUMMYFUNCTION("XLOOKUP(B164,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""-"")"),"RATNADEEPA K P")</f>
        <v>RATNADEEPA K P</v>
      </c>
      <c r="D164" s="17" t="str">
        <f>IFERROR(__xludf.DUMMYFUNCTION("XLOOKUP(B164,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164" s="33" t="s">
        <v>150</v>
      </c>
      <c r="F164" s="14">
        <v>3.5</v>
      </c>
      <c r="G164" s="14" t="s">
        <v>59</v>
      </c>
      <c r="H164" s="14"/>
      <c r="I164" s="14" t="s">
        <v>136</v>
      </c>
      <c r="J164" s="14" t="s">
        <v>63</v>
      </c>
      <c r="K164" s="17" t="str">
        <f>IFERROR(__xludf.DUMMYFUNCTION("XLOOKUP(B164,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""-"")"),"ratnadeepa.ec23@bitsathy.ac.in")</f>
        <v>ratnadeepa.ec23@bitsathy.ac.in</v>
      </c>
      <c r="L164" s="21" t="str">
        <f>IFERROR(__xludf.DUMMYFUNCTION("XLOOKUP(B164,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""-"")"),"9894985523")</f>
        <v>9894985523</v>
      </c>
      <c r="M164" s="14" t="s">
        <v>71</v>
      </c>
      <c r="N164" s="14" t="s">
        <v>401</v>
      </c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22"/>
      <c r="AA164" s="22"/>
      <c r="AB164" s="22"/>
      <c r="AC164" s="22"/>
      <c r="AD164" s="22"/>
    </row>
    <row r="165">
      <c r="A165" s="21">
        <v>164.0</v>
      </c>
      <c r="B165" s="32" t="s">
        <v>404</v>
      </c>
      <c r="C165" s="16" t="str">
        <f>IFERROR(__xludf.DUMMYFUNCTION("XLOOKUP(B165,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""-"")"),"HARIHARAN A")</f>
        <v>HARIHARAN A</v>
      </c>
      <c r="D165" s="17" t="str">
        <f>IFERROR(__xludf.DUMMYFUNCTION("XLOOKUP(B165,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65" s="33" t="s">
        <v>150</v>
      </c>
      <c r="F165" s="14">
        <v>3.5</v>
      </c>
      <c r="G165" s="14" t="s">
        <v>59</v>
      </c>
      <c r="H165" s="14"/>
      <c r="I165" s="14" t="s">
        <v>136</v>
      </c>
      <c r="J165" s="14" t="s">
        <v>63</v>
      </c>
      <c r="K165" s="17" t="str">
        <f>IFERROR(__xludf.DUMMYFUNCTION("XLOOKUP(B165,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""-"")"),"hariharan.ei23@bitsathy.ac.in")</f>
        <v>hariharan.ei23@bitsathy.ac.in</v>
      </c>
      <c r="L165" s="21" t="str">
        <f>IFERROR(__xludf.DUMMYFUNCTION("XLOOKUP(B165,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""-"")"),"9363268656")</f>
        <v>9363268656</v>
      </c>
      <c r="M165" s="14" t="s">
        <v>71</v>
      </c>
      <c r="N165" s="14" t="s">
        <v>401</v>
      </c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22"/>
      <c r="AA165" s="22"/>
      <c r="AB165" s="22"/>
      <c r="AC165" s="22"/>
      <c r="AD165" s="22"/>
    </row>
    <row r="166">
      <c r="A166" s="21">
        <v>165.0</v>
      </c>
      <c r="B166" s="32" t="s">
        <v>405</v>
      </c>
      <c r="C166" s="16" t="str">
        <f>IFERROR(__xludf.DUMMYFUNCTION("XLOOKUP(B166,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 S")</f>
        <v>NAVEEN S</v>
      </c>
      <c r="D166" s="17" t="str">
        <f>IFERROR(__xludf.DUMMYFUNCTION("XLOOKUP(B166,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66" s="33" t="s">
        <v>150</v>
      </c>
      <c r="F166" s="14">
        <v>3.5</v>
      </c>
      <c r="G166" s="14" t="s">
        <v>59</v>
      </c>
      <c r="H166" s="14"/>
      <c r="I166" s="14" t="s">
        <v>136</v>
      </c>
      <c r="J166" s="14" t="s">
        <v>63</v>
      </c>
      <c r="K166" s="17" t="str">
        <f>IFERROR(__xludf.DUMMYFUNCTION("XLOOKUP(B166,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""-"")"),"naveens.ei23@bitsathy.ac.in")</f>
        <v>naveens.ei23@bitsathy.ac.in</v>
      </c>
      <c r="L166" s="21" t="str">
        <f>IFERROR(__xludf.DUMMYFUNCTION("XLOOKUP(B166,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""-"")"),"9688840079")</f>
        <v>9688840079</v>
      </c>
      <c r="M166" s="14" t="s">
        <v>71</v>
      </c>
      <c r="N166" s="14" t="s">
        <v>401</v>
      </c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22"/>
      <c r="AA166" s="22"/>
      <c r="AB166" s="22"/>
      <c r="AC166" s="22"/>
      <c r="AD166" s="22"/>
    </row>
    <row r="167">
      <c r="A167" s="21">
        <v>166.0</v>
      </c>
      <c r="B167" s="32" t="s">
        <v>406</v>
      </c>
      <c r="C167" s="16" t="str">
        <f>IFERROR(__xludf.DUMMYFUNCTION("XLOOKUP(B167,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""-"")"),"KAVINRAJ R")</f>
        <v>KAVINRAJ R</v>
      </c>
      <c r="D167" s="17" t="str">
        <f>IFERROR(__xludf.DUMMYFUNCTION("XLOOKUP(B167,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67" s="33" t="s">
        <v>182</v>
      </c>
      <c r="F167" s="14">
        <v>3.0</v>
      </c>
      <c r="G167" s="14" t="s">
        <v>59</v>
      </c>
      <c r="H167" s="14" t="s">
        <v>60</v>
      </c>
      <c r="I167" s="14" t="s">
        <v>136</v>
      </c>
      <c r="J167" s="14" t="s">
        <v>99</v>
      </c>
      <c r="K167" s="17" t="str">
        <f>IFERROR(__xludf.DUMMYFUNCTION("XLOOKUP(B167,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""-"")"),"kavinraj.me23@bitsathy.ac.in")</f>
        <v>kavinraj.me23@bitsathy.ac.in</v>
      </c>
      <c r="L167" s="21" t="str">
        <f>IFERROR(__xludf.DUMMYFUNCTION("XLOOKUP(B167,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""-"")"),"6379124042")</f>
        <v>6379124042</v>
      </c>
      <c r="M167" s="14" t="s">
        <v>71</v>
      </c>
      <c r="N167" s="14" t="s">
        <v>407</v>
      </c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22"/>
      <c r="AA167" s="22"/>
      <c r="AB167" s="22"/>
      <c r="AC167" s="22"/>
      <c r="AD167" s="22"/>
    </row>
    <row r="168">
      <c r="A168" s="21">
        <v>167.0</v>
      </c>
      <c r="B168" s="32" t="s">
        <v>408</v>
      </c>
      <c r="C168" s="16" t="str">
        <f>IFERROR(__xludf.DUMMYFUNCTION("XLOOKUP(B168,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""-"")"),"SUDHISH S S")</f>
        <v>SUDHISH S S</v>
      </c>
      <c r="D168" s="17" t="str">
        <f>IFERROR(__xludf.DUMMYFUNCTION("XLOOKUP(B168,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168" s="33" t="s">
        <v>182</v>
      </c>
      <c r="F168" s="14">
        <v>3.0</v>
      </c>
      <c r="G168" s="14" t="s">
        <v>59</v>
      </c>
      <c r="H168" s="14" t="s">
        <v>60</v>
      </c>
      <c r="I168" s="14" t="s">
        <v>136</v>
      </c>
      <c r="J168" s="14" t="s">
        <v>99</v>
      </c>
      <c r="K168" s="17" t="str">
        <f>IFERROR(__xludf.DUMMYFUNCTION("XLOOKUP(B168,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""-"")"),"sudhish.me23@bitsathy.ac.in")</f>
        <v>sudhish.me23@bitsathy.ac.in</v>
      </c>
      <c r="L168" s="21" t="str">
        <f>IFERROR(__xludf.DUMMYFUNCTION("XLOOKUP(B168,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""-"")"),"6383239998")</f>
        <v>6383239998</v>
      </c>
      <c r="M168" s="14" t="s">
        <v>71</v>
      </c>
      <c r="N168" s="14" t="s">
        <v>407</v>
      </c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22"/>
      <c r="AA168" s="22"/>
      <c r="AB168" s="22"/>
      <c r="AC168" s="22"/>
      <c r="AD168" s="22"/>
    </row>
    <row r="169">
      <c r="A169" s="21">
        <v>168.0</v>
      </c>
      <c r="B169" s="32" t="s">
        <v>409</v>
      </c>
      <c r="C169" s="16" t="str">
        <f>IFERROR(__xludf.DUMMYFUNCTION("XLOOKUP(B169,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""-"")"),"ARUN PRAKASH E")</f>
        <v>ARUN PRAKASH E</v>
      </c>
      <c r="D169" s="17" t="str">
        <f>IFERROR(__xludf.DUMMYFUNCTION("XLOOKUP(B169,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169" s="33" t="s">
        <v>101</v>
      </c>
      <c r="F169" s="14">
        <v>4.0</v>
      </c>
      <c r="G169" s="14" t="s">
        <v>252</v>
      </c>
      <c r="H169" s="14"/>
      <c r="I169" s="14" t="s">
        <v>62</v>
      </c>
      <c r="J169" s="14" t="s">
        <v>63</v>
      </c>
      <c r="K169" s="17" t="str">
        <f>IFERROR(__xludf.DUMMYFUNCTION("XLOOKUP(B169,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""-"")"),"arunprakash.al23@bitsathy.ac.in")</f>
        <v>arunprakash.al23@bitsathy.ac.in</v>
      </c>
      <c r="L169" s="21" t="str">
        <f>IFERROR(__xludf.DUMMYFUNCTION("XLOOKUP(B169,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""-"")"),"9629731716")</f>
        <v>9629731716</v>
      </c>
      <c r="M169" s="14" t="s">
        <v>71</v>
      </c>
      <c r="N169" s="14" t="s">
        <v>410</v>
      </c>
      <c r="O169" s="34"/>
      <c r="P169" s="34"/>
      <c r="Q169" s="34"/>
      <c r="R169" s="34"/>
      <c r="S169" s="34"/>
      <c r="T169" s="34"/>
      <c r="U169" s="34"/>
      <c r="V169" s="47" t="s">
        <v>411</v>
      </c>
      <c r="W169" s="34"/>
      <c r="X169" s="34"/>
      <c r="Y169" s="34"/>
      <c r="Z169" s="22"/>
      <c r="AA169" s="22"/>
      <c r="AB169" s="22"/>
      <c r="AC169" s="22"/>
      <c r="AD169" s="22"/>
    </row>
    <row r="170">
      <c r="A170" s="21">
        <v>169.0</v>
      </c>
      <c r="B170" s="32" t="s">
        <v>412</v>
      </c>
      <c r="C170" s="16" t="str">
        <f>IFERROR(__xludf.DUMMYFUNCTION("XLOOKUP(B170,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""-"")"),"BHARATH L")</f>
        <v>BHARATH L</v>
      </c>
      <c r="D170" s="17" t="str">
        <f>IFERROR(__xludf.DUMMYFUNCTION("XLOOKUP(B170,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70" s="33" t="s">
        <v>101</v>
      </c>
      <c r="F170" s="14">
        <v>4.0</v>
      </c>
      <c r="G170" s="14" t="s">
        <v>252</v>
      </c>
      <c r="H170" s="14"/>
      <c r="I170" s="14" t="s">
        <v>62</v>
      </c>
      <c r="J170" s="14" t="s">
        <v>63</v>
      </c>
      <c r="K170" s="17" t="str">
        <f>IFERROR(__xludf.DUMMYFUNCTION("XLOOKUP(B170,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""-"")"),"bharath.ad23@bitsathy.ac.in")</f>
        <v>bharath.ad23@bitsathy.ac.in</v>
      </c>
      <c r="L170" s="21" t="str">
        <f>IFERROR(__xludf.DUMMYFUNCTION("XLOOKUP(B170,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""-"")"),"8056740238")</f>
        <v>8056740238</v>
      </c>
      <c r="M170" s="14" t="s">
        <v>71</v>
      </c>
      <c r="N170" s="14" t="s">
        <v>410</v>
      </c>
      <c r="O170" s="34"/>
      <c r="P170" s="34"/>
      <c r="Q170" s="34"/>
      <c r="R170" s="34"/>
      <c r="S170" s="34"/>
      <c r="T170" s="34"/>
      <c r="U170" s="34"/>
      <c r="V170" s="35" t="s">
        <v>413</v>
      </c>
      <c r="W170" s="34"/>
      <c r="X170" s="34"/>
      <c r="Y170" s="34"/>
      <c r="Z170" s="22"/>
      <c r="AA170" s="22"/>
      <c r="AB170" s="22"/>
      <c r="AC170" s="22"/>
      <c r="AD170" s="22"/>
    </row>
    <row r="171">
      <c r="A171" s="21">
        <v>170.0</v>
      </c>
      <c r="B171" s="32" t="s">
        <v>414</v>
      </c>
      <c r="C171" s="16" t="str">
        <f>IFERROR(__xludf.DUMMYFUNCTION("XLOOKUP(B171,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""-"")"),"KAMALESH K")</f>
        <v>KAMALESH K</v>
      </c>
      <c r="D171" s="17" t="str">
        <f>IFERROR(__xludf.DUMMYFUNCTION("XLOOKUP(B171,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71" s="33" t="s">
        <v>101</v>
      </c>
      <c r="F171" s="14">
        <v>4.0</v>
      </c>
      <c r="G171" s="14" t="s">
        <v>252</v>
      </c>
      <c r="H171" s="14"/>
      <c r="I171" s="14" t="s">
        <v>62</v>
      </c>
      <c r="J171" s="14" t="s">
        <v>266</v>
      </c>
      <c r="K171" s="17" t="str">
        <f>IFERROR(__xludf.DUMMYFUNCTION("XLOOKUP(B171,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""-"")"),"kamalesh.cs23@bitsathy.ac.in")</f>
        <v>kamalesh.cs23@bitsathy.ac.in</v>
      </c>
      <c r="L171" s="21" t="str">
        <f>IFERROR(__xludf.DUMMYFUNCTION("XLOOKUP(B171,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""-"")"),"6369026251")</f>
        <v>6369026251</v>
      </c>
      <c r="M171" s="14" t="s">
        <v>71</v>
      </c>
      <c r="N171" s="14" t="s">
        <v>410</v>
      </c>
      <c r="O171" s="34"/>
      <c r="P171" s="34"/>
      <c r="Q171" s="34"/>
      <c r="R171" s="34"/>
      <c r="S171" s="34"/>
      <c r="T171" s="34"/>
      <c r="U171" s="34"/>
      <c r="V171" s="35" t="s">
        <v>415</v>
      </c>
      <c r="W171" s="34"/>
      <c r="X171" s="34"/>
      <c r="Y171" s="34"/>
      <c r="Z171" s="22"/>
      <c r="AA171" s="22"/>
      <c r="AB171" s="22"/>
      <c r="AC171" s="22"/>
      <c r="AD171" s="22"/>
    </row>
    <row r="172">
      <c r="A172" s="21">
        <v>171.0</v>
      </c>
      <c r="B172" s="32" t="s">
        <v>416</v>
      </c>
      <c r="C172" s="16" t="str">
        <f>IFERROR(__xludf.DUMMYFUNCTION("XLOOKUP(B172,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""-"")"),"RAAM KUMAR K R")</f>
        <v>RAAM KUMAR K R</v>
      </c>
      <c r="D172" s="17" t="str">
        <f>IFERROR(__xludf.DUMMYFUNCTION("XLOOKUP(B172,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72" s="33" t="s">
        <v>101</v>
      </c>
      <c r="F172" s="14">
        <v>4.0</v>
      </c>
      <c r="G172" s="14" t="s">
        <v>252</v>
      </c>
      <c r="H172" s="14"/>
      <c r="I172" s="14" t="s">
        <v>62</v>
      </c>
      <c r="J172" s="14" t="s">
        <v>63</v>
      </c>
      <c r="K172" s="17" t="str">
        <f>IFERROR(__xludf.DUMMYFUNCTION("XLOOKUP(B172,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""-"")"),"raamkumar.ad23@bitsathy.ac.in")</f>
        <v>raamkumar.ad23@bitsathy.ac.in</v>
      </c>
      <c r="L172" s="21" t="str">
        <f>IFERROR(__xludf.DUMMYFUNCTION("XLOOKUP(B172,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""-"")"),"7010861104")</f>
        <v>7010861104</v>
      </c>
      <c r="M172" s="14" t="s">
        <v>71</v>
      </c>
      <c r="N172" s="14" t="s">
        <v>410</v>
      </c>
      <c r="O172" s="34"/>
      <c r="P172" s="34"/>
      <c r="Q172" s="34"/>
      <c r="R172" s="34"/>
      <c r="S172" s="34"/>
      <c r="T172" s="34"/>
      <c r="U172" s="34"/>
      <c r="V172" s="35" t="s">
        <v>417</v>
      </c>
      <c r="W172" s="34"/>
      <c r="X172" s="34"/>
      <c r="Y172" s="34"/>
      <c r="Z172" s="22"/>
      <c r="AA172" s="22"/>
      <c r="AB172" s="22"/>
      <c r="AC172" s="22"/>
      <c r="AD172" s="22"/>
    </row>
    <row r="173">
      <c r="A173" s="21">
        <v>172.0</v>
      </c>
      <c r="B173" s="32" t="s">
        <v>418</v>
      </c>
      <c r="C173" s="16" t="str">
        <f>IFERROR(__xludf.DUMMYFUNCTION("XLOOKUP(B173,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""-"")"),"GOPI R")</f>
        <v>GOPI R</v>
      </c>
      <c r="D173" s="17" t="str">
        <f>IFERROR(__xludf.DUMMYFUNCTION("XLOOKUP(B173,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173" s="33" t="s">
        <v>164</v>
      </c>
      <c r="F173" s="14">
        <v>3.0</v>
      </c>
      <c r="G173" s="14" t="s">
        <v>59</v>
      </c>
      <c r="H173" s="14"/>
      <c r="I173" s="14" t="s">
        <v>136</v>
      </c>
      <c r="J173" s="14" t="s">
        <v>63</v>
      </c>
      <c r="K173" s="17" t="str">
        <f>IFERROR(__xludf.DUMMYFUNCTION("XLOOKUP(B173,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""-"")"),"gopir.ft23@bitsathy.ac.in")</f>
        <v>gopir.ft23@bitsathy.ac.in</v>
      </c>
      <c r="L173" s="21" t="str">
        <f>IFERROR(__xludf.DUMMYFUNCTION("XLOOKUP(B173,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""-"")"),"8428191610")</f>
        <v>8428191610</v>
      </c>
      <c r="M173" s="14" t="s">
        <v>240</v>
      </c>
      <c r="N173" s="14" t="s">
        <v>410</v>
      </c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22"/>
      <c r="AA173" s="22"/>
      <c r="AB173" s="22"/>
      <c r="AC173" s="22"/>
      <c r="AD173" s="22"/>
    </row>
    <row r="174">
      <c r="A174" s="21">
        <v>173.0</v>
      </c>
      <c r="B174" s="32" t="s">
        <v>419</v>
      </c>
      <c r="C174" s="16" t="str">
        <f>IFERROR(__xludf.DUMMYFUNCTION("XLOOKUP(B174,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 PRASATH  M")</f>
        <v>HARI PRASATH  M</v>
      </c>
      <c r="D174" s="17" t="str">
        <f>IFERROR(__xludf.DUMMYFUNCTION("XLOOKUP(B174,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174" s="33" t="s">
        <v>183</v>
      </c>
      <c r="F174" s="14">
        <v>3.0</v>
      </c>
      <c r="G174" s="14" t="s">
        <v>59</v>
      </c>
      <c r="H174" s="14"/>
      <c r="I174" s="14" t="s">
        <v>136</v>
      </c>
      <c r="J174" s="14" t="s">
        <v>63</v>
      </c>
      <c r="K174" s="17" t="str">
        <f>IFERROR(__xludf.DUMMYFUNCTION("XLOOKUP(B174,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""-"")"),"hariprasath.mz23@bitsathy.ac.in")</f>
        <v>hariprasath.mz23@bitsathy.ac.in</v>
      </c>
      <c r="L174" s="21" t="str">
        <f>IFERROR(__xludf.DUMMYFUNCTION("XLOOKUP(B174,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""-"")"),"6369985802")</f>
        <v>6369985802</v>
      </c>
      <c r="M174" s="14" t="s">
        <v>420</v>
      </c>
      <c r="N174" s="14" t="s">
        <v>410</v>
      </c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22"/>
      <c r="AA174" s="22"/>
      <c r="AB174" s="22"/>
      <c r="AC174" s="22"/>
      <c r="AD174" s="22"/>
    </row>
    <row r="175">
      <c r="A175" s="21">
        <v>174.0</v>
      </c>
      <c r="B175" s="32" t="s">
        <v>421</v>
      </c>
      <c r="C175" s="16" t="str">
        <f>IFERROR(__xludf.DUMMYFUNCTION("XLOOKUP(B175,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""-"")"),"SHASHWATH V R")</f>
        <v>SHASHWATH V R</v>
      </c>
      <c r="D175" s="17" t="str">
        <f>IFERROR(__xludf.DUMMYFUNCTION("XLOOKUP(B175,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75" s="33" t="s">
        <v>97</v>
      </c>
      <c r="F175" s="14">
        <v>10.2</v>
      </c>
      <c r="G175" s="14" t="s">
        <v>252</v>
      </c>
      <c r="H175" s="14"/>
      <c r="I175" s="14" t="s">
        <v>62</v>
      </c>
      <c r="J175" s="14" t="s">
        <v>63</v>
      </c>
      <c r="K175" s="17" t="str">
        <f>IFERROR(__xludf.DUMMYFUNCTION("XLOOKUP(B175,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""-"")"),"shashwath.it23@bitsathy.ac.in")</f>
        <v>shashwath.it23@bitsathy.ac.in</v>
      </c>
      <c r="L175" s="21" t="str">
        <f>IFERROR(__xludf.DUMMYFUNCTION("XLOOKUP(B175,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""-"")"),"9361955247")</f>
        <v>9361955247</v>
      </c>
      <c r="M175" s="14" t="s">
        <v>71</v>
      </c>
      <c r="N175" s="14" t="s">
        <v>422</v>
      </c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22"/>
      <c r="AA175" s="22"/>
      <c r="AB175" s="22"/>
      <c r="AC175" s="22"/>
      <c r="AD175" s="22"/>
    </row>
    <row r="176">
      <c r="A176" s="21">
        <v>175.0</v>
      </c>
      <c r="B176" s="48" t="s">
        <v>423</v>
      </c>
      <c r="C176" s="16" t="str">
        <f>IFERROR(__xludf.DUMMYFUNCTION("XLOOKUP(B176,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""-"")"),"JHAI PRANESH T")</f>
        <v>JHAI PRANESH T</v>
      </c>
      <c r="D176" s="17" t="str">
        <f>IFERROR(__xludf.DUMMYFUNCTION("XLOOKUP(B176,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76" s="33" t="s">
        <v>97</v>
      </c>
      <c r="F176" s="14">
        <v>7.2</v>
      </c>
      <c r="G176" s="14" t="s">
        <v>252</v>
      </c>
      <c r="H176" s="14"/>
      <c r="I176" s="14" t="s">
        <v>62</v>
      </c>
      <c r="J176" s="14" t="s">
        <v>63</v>
      </c>
      <c r="K176" s="17" t="str">
        <f>IFERROR(__xludf.DUMMYFUNCTION("XLOOKUP(B176,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""-"")"),"jhaipranesh.ad23@bitsathy.ac.in")</f>
        <v>jhaipranesh.ad23@bitsathy.ac.in</v>
      </c>
      <c r="L176" s="21" t="str">
        <f>IFERROR(__xludf.DUMMYFUNCTION("XLOOKUP(B176,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""-"")"),"9842090008")</f>
        <v>9842090008</v>
      </c>
      <c r="M176" s="14" t="s">
        <v>71</v>
      </c>
      <c r="N176" s="14" t="s">
        <v>422</v>
      </c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22"/>
      <c r="AA176" s="22"/>
      <c r="AB176" s="22"/>
      <c r="AC176" s="22"/>
      <c r="AD176" s="22"/>
    </row>
    <row r="177">
      <c r="A177" s="21">
        <v>176.0</v>
      </c>
      <c r="B177" s="49" t="s">
        <v>424</v>
      </c>
      <c r="C177" s="16" t="str">
        <f>IFERROR(__xludf.DUMMYFUNCTION("XLOOKUP(B177,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""-"")"),"ASHWIN G")</f>
        <v>ASHWIN G</v>
      </c>
      <c r="D177" s="17" t="str">
        <f>IFERROR(__xludf.DUMMYFUNCTION("XLOOKUP(B177,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177" s="33" t="s">
        <v>88</v>
      </c>
      <c r="F177" s="14">
        <v>3.0</v>
      </c>
      <c r="G177" s="14" t="s">
        <v>252</v>
      </c>
      <c r="H177" s="14"/>
      <c r="I177" s="14" t="s">
        <v>136</v>
      </c>
      <c r="J177" s="14" t="s">
        <v>63</v>
      </c>
      <c r="K177" s="17" t="str">
        <f>IFERROR(__xludf.DUMMYFUNCTION("XLOOKUP(B177,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""-"")"),"ashwin.ft23@bitsathy.ac.in")</f>
        <v>ashwin.ft23@bitsathy.ac.in</v>
      </c>
      <c r="L177" s="21" t="str">
        <f>IFERROR(__xludf.DUMMYFUNCTION("XLOOKUP(B177,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""-"")"),"9025957517")</f>
        <v>9025957517</v>
      </c>
      <c r="M177" s="14" t="s">
        <v>240</v>
      </c>
      <c r="N177" s="14" t="s">
        <v>422</v>
      </c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22"/>
      <c r="AA177" s="22"/>
      <c r="AB177" s="22"/>
      <c r="AC177" s="22"/>
      <c r="AD177" s="22"/>
    </row>
    <row r="178">
      <c r="A178" s="21">
        <v>177.0</v>
      </c>
      <c r="B178" s="32" t="s">
        <v>425</v>
      </c>
      <c r="C178" s="16" t="str">
        <f>IFERROR(__xludf.DUMMYFUNCTION("XLOOKUP(B178,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""-"")"),"NIRANJAN KUMAR")</f>
        <v>NIRANJAN KUMAR</v>
      </c>
      <c r="D178" s="17" t="str">
        <f>IFERROR(__xludf.DUMMYFUNCTION("XLOOKUP(B178,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78" s="33" t="s">
        <v>149</v>
      </c>
      <c r="F178" s="14">
        <v>4.5</v>
      </c>
      <c r="G178" s="14" t="s">
        <v>59</v>
      </c>
      <c r="H178" s="14"/>
      <c r="I178" s="14" t="s">
        <v>62</v>
      </c>
      <c r="J178" s="14" t="s">
        <v>63</v>
      </c>
      <c r="K178" s="17" t="str">
        <f>IFERROR(__xludf.DUMMYFUNCTION("XLOOKUP(B178,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""-"")"),"niranjan.cs23@bitsathy.ac.in")</f>
        <v>niranjan.cs23@bitsathy.ac.in</v>
      </c>
      <c r="L178" s="21" t="str">
        <f>IFERROR(__xludf.DUMMYFUNCTION("XLOOKUP(B178,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""-"")"),"8838349634")</f>
        <v>8838349634</v>
      </c>
      <c r="M178" s="14" t="s">
        <v>420</v>
      </c>
      <c r="N178" s="14" t="s">
        <v>426</v>
      </c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5" t="s">
        <v>427</v>
      </c>
      <c r="Z178" s="22"/>
      <c r="AA178" s="22"/>
      <c r="AB178" s="22"/>
      <c r="AC178" s="22"/>
      <c r="AD178" s="22"/>
    </row>
    <row r="179">
      <c r="A179" s="21">
        <v>178.0</v>
      </c>
      <c r="B179" s="32" t="s">
        <v>428</v>
      </c>
      <c r="C179" s="16" t="str">
        <f>IFERROR(__xludf.DUMMYFUNCTION("XLOOKUP(B179,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""-"")"),"GOWTHAM S")</f>
        <v>GOWTHAM S</v>
      </c>
      <c r="D179" s="17" t="str">
        <f>IFERROR(__xludf.DUMMYFUNCTION("XLOOKUP(B179,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79" s="33" t="s">
        <v>149</v>
      </c>
      <c r="F179" s="14">
        <v>4.5</v>
      </c>
      <c r="G179" s="14" t="s">
        <v>59</v>
      </c>
      <c r="H179" s="14"/>
      <c r="I179" s="14" t="s">
        <v>62</v>
      </c>
      <c r="J179" s="14" t="s">
        <v>63</v>
      </c>
      <c r="K179" s="17" t="str">
        <f>IFERROR(__xludf.DUMMYFUNCTION("XLOOKUP(B179,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""-"")"),"sgowtham.cs23@bitsathy.ac.in")</f>
        <v>sgowtham.cs23@bitsathy.ac.in</v>
      </c>
      <c r="L179" s="21" t="str">
        <f>IFERROR(__xludf.DUMMYFUNCTION("XLOOKUP(B179,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""-"")"),"9629411228")</f>
        <v>9629411228</v>
      </c>
      <c r="M179" s="14" t="s">
        <v>420</v>
      </c>
      <c r="N179" s="14" t="s">
        <v>426</v>
      </c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5" t="s">
        <v>429</v>
      </c>
      <c r="Z179" s="22"/>
      <c r="AA179" s="22"/>
      <c r="AB179" s="22"/>
      <c r="AC179" s="22"/>
      <c r="AD179" s="22"/>
    </row>
    <row r="180">
      <c r="A180" s="21">
        <v>179.0</v>
      </c>
      <c r="B180" s="32" t="s">
        <v>430</v>
      </c>
      <c r="C180" s="16" t="str">
        <f>IFERROR(__xludf.DUMMYFUNCTION("XLOOKUP(B180,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""-"")"),"THANIKHA  P")</f>
        <v>THANIKHA  P</v>
      </c>
      <c r="D180" s="17" t="str">
        <f>IFERROR(__xludf.DUMMYFUNCTION("XLOOKUP(B180,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180" s="33" t="s">
        <v>170</v>
      </c>
      <c r="F180" s="14">
        <v>3.5</v>
      </c>
      <c r="G180" s="14" t="s">
        <v>59</v>
      </c>
      <c r="H180" s="14"/>
      <c r="I180" s="14" t="s">
        <v>136</v>
      </c>
      <c r="J180" s="14" t="s">
        <v>266</v>
      </c>
      <c r="K180" s="17" t="str">
        <f>IFERROR(__xludf.DUMMYFUNCTION("XLOOKUP(B180,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""-"")"),"thanikha.ei23@bitsathy.ac.in")</f>
        <v>thanikha.ei23@bitsathy.ac.in</v>
      </c>
      <c r="L180" s="21" t="str">
        <f>IFERROR(__xludf.DUMMYFUNCTION("XLOOKUP(B180,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""-"")"),"7845282112")</f>
        <v>7845282112</v>
      </c>
      <c r="M180" s="14" t="s">
        <v>420</v>
      </c>
      <c r="N180" s="14" t="s">
        <v>426</v>
      </c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22"/>
      <c r="AA180" s="22"/>
      <c r="AB180" s="22"/>
      <c r="AC180" s="22"/>
      <c r="AD180" s="22"/>
    </row>
    <row r="181">
      <c r="A181" s="21">
        <v>180.0</v>
      </c>
      <c r="B181" s="50" t="s">
        <v>431</v>
      </c>
      <c r="C181" s="16" t="str">
        <f>IFERROR(__xludf.DUMMYFUNCTION("XLOOKUP(B181,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""-"")"),"DHEEKSHA V")</f>
        <v>DHEEKSHA V</v>
      </c>
      <c r="D181" s="17" t="str">
        <f>IFERROR(__xludf.DUMMYFUNCTION("XLOOKUP(B181,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81" s="33" t="s">
        <v>139</v>
      </c>
      <c r="F181" s="14">
        <v>4.0</v>
      </c>
      <c r="G181" s="14" t="s">
        <v>252</v>
      </c>
      <c r="H181" s="14"/>
      <c r="I181" s="14" t="s">
        <v>432</v>
      </c>
      <c r="J181" s="14" t="s">
        <v>63</v>
      </c>
      <c r="K181" s="17" t="str">
        <f>IFERROR(__xludf.DUMMYFUNCTION("XLOOKUP(B181,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""-"")"),"dheeksha.it23@bitsathy.ac.in")</f>
        <v>dheeksha.it23@bitsathy.ac.in</v>
      </c>
      <c r="L181" s="21" t="str">
        <f>IFERROR(__xludf.DUMMYFUNCTION("XLOOKUP(B181,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""-"")"),"6385244290")</f>
        <v>6385244290</v>
      </c>
      <c r="M181" s="14" t="s">
        <v>71</v>
      </c>
      <c r="N181" s="14" t="s">
        <v>433</v>
      </c>
      <c r="O181" s="34"/>
      <c r="P181" s="34"/>
      <c r="Q181" s="34"/>
      <c r="R181" s="34"/>
      <c r="S181" s="34"/>
      <c r="T181" s="34"/>
      <c r="U181" s="34"/>
      <c r="V181" s="34"/>
      <c r="W181" s="34"/>
      <c r="X181" s="35" t="s">
        <v>434</v>
      </c>
      <c r="Y181" s="34"/>
      <c r="Z181" s="22"/>
      <c r="AA181" s="22"/>
      <c r="AB181" s="22"/>
      <c r="AC181" s="22"/>
      <c r="AD181" s="22"/>
    </row>
    <row r="182">
      <c r="A182" s="21">
        <v>181.0</v>
      </c>
      <c r="B182" s="50" t="s">
        <v>435</v>
      </c>
      <c r="C182" s="16" t="str">
        <f>IFERROR(__xludf.DUMMYFUNCTION("XLOOKUP(B182,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""-"")"),"DHARSHINI J")</f>
        <v>DHARSHINI J</v>
      </c>
      <c r="D182" s="17" t="str">
        <f>IFERROR(__xludf.DUMMYFUNCTION("XLOOKUP(B182,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82" s="33" t="s">
        <v>139</v>
      </c>
      <c r="F182" s="14">
        <v>4.0</v>
      </c>
      <c r="G182" s="14" t="s">
        <v>252</v>
      </c>
      <c r="H182" s="14"/>
      <c r="I182" s="14" t="s">
        <v>432</v>
      </c>
      <c r="J182" s="14" t="s">
        <v>63</v>
      </c>
      <c r="K182" s="17" t="str">
        <f>IFERROR(__xludf.DUMMYFUNCTION("XLOOKUP(B182,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""-"")"),"dharshini.it23@bitsathy.ac.in")</f>
        <v>dharshini.it23@bitsathy.ac.in</v>
      </c>
      <c r="L182" s="21" t="str">
        <f>IFERROR(__xludf.DUMMYFUNCTION("XLOOKUP(B182,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""-"")"),"7904643338")</f>
        <v>7904643338</v>
      </c>
      <c r="M182" s="14" t="s">
        <v>71</v>
      </c>
      <c r="N182" s="14" t="s">
        <v>433</v>
      </c>
      <c r="O182" s="34"/>
      <c r="P182" s="34"/>
      <c r="Q182" s="34"/>
      <c r="R182" s="34"/>
      <c r="S182" s="34"/>
      <c r="T182" s="34"/>
      <c r="U182" s="34"/>
      <c r="V182" s="34"/>
      <c r="W182" s="34"/>
      <c r="X182" s="35" t="s">
        <v>436</v>
      </c>
      <c r="Y182" s="34"/>
      <c r="Z182" s="22"/>
      <c r="AA182" s="22"/>
      <c r="AB182" s="22"/>
      <c r="AC182" s="22"/>
      <c r="AD182" s="22"/>
    </row>
    <row r="183">
      <c r="A183" s="21">
        <v>182.0</v>
      </c>
      <c r="B183" s="50" t="s">
        <v>437</v>
      </c>
      <c r="C183" s="16" t="str">
        <f>IFERROR(__xludf.DUMMYFUNCTION("XLOOKUP(B183,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""-"")"),"NISHANTHINI S")</f>
        <v>NISHANTHINI S</v>
      </c>
      <c r="D183" s="17" t="str">
        <f>IFERROR(__xludf.DUMMYFUNCTION("XLOOKUP(B183,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83" s="33" t="s">
        <v>139</v>
      </c>
      <c r="F183" s="14">
        <v>4.0</v>
      </c>
      <c r="G183" s="14" t="s">
        <v>252</v>
      </c>
      <c r="H183" s="14"/>
      <c r="I183" s="14" t="s">
        <v>432</v>
      </c>
      <c r="J183" s="14" t="s">
        <v>63</v>
      </c>
      <c r="K183" s="17" t="str">
        <f>IFERROR(__xludf.DUMMYFUNCTION("XLOOKUP(B183,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""-"")"),"nishanthini.it23@bitsathy.ac.in")</f>
        <v>nishanthini.it23@bitsathy.ac.in</v>
      </c>
      <c r="L183" s="21" t="str">
        <f>IFERROR(__xludf.DUMMYFUNCTION("XLOOKUP(B183,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""-"")"),"8807281872")</f>
        <v>8807281872</v>
      </c>
      <c r="M183" s="14" t="s">
        <v>71</v>
      </c>
      <c r="N183" s="14" t="s">
        <v>433</v>
      </c>
      <c r="O183" s="34"/>
      <c r="P183" s="34"/>
      <c r="Q183" s="34"/>
      <c r="R183" s="34"/>
      <c r="S183" s="34"/>
      <c r="T183" s="34"/>
      <c r="U183" s="34"/>
      <c r="V183" s="34"/>
      <c r="W183" s="34"/>
      <c r="X183" s="35" t="s">
        <v>438</v>
      </c>
      <c r="Y183" s="34"/>
      <c r="Z183" s="22"/>
      <c r="AA183" s="22"/>
      <c r="AB183" s="22"/>
      <c r="AC183" s="22"/>
      <c r="AD183" s="22"/>
    </row>
    <row r="184">
      <c r="A184" s="21">
        <v>183.0</v>
      </c>
      <c r="B184" s="50" t="s">
        <v>439</v>
      </c>
      <c r="C184" s="16" t="str">
        <f>IFERROR(__xludf.DUMMYFUNCTION("XLOOKUP(B184,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""-"")"),"HARISH  R")</f>
        <v>HARISH  R</v>
      </c>
      <c r="D184" s="17" t="str">
        <f>IFERROR(__xludf.DUMMYFUNCTION("XLOOKUP(B184,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84" s="33" t="s">
        <v>139</v>
      </c>
      <c r="F184" s="14">
        <v>4.0</v>
      </c>
      <c r="G184" s="14" t="s">
        <v>252</v>
      </c>
      <c r="H184" s="14"/>
      <c r="I184" s="14" t="s">
        <v>432</v>
      </c>
      <c r="J184" s="14" t="s">
        <v>63</v>
      </c>
      <c r="K184" s="17" t="str">
        <f>IFERROR(__xludf.DUMMYFUNCTION("XLOOKUP(B184,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""-"")"),"harishr.ad23@bitsathy.ac.in")</f>
        <v>harishr.ad23@bitsathy.ac.in</v>
      </c>
      <c r="L184" s="21" t="str">
        <f>IFERROR(__xludf.DUMMYFUNCTION("XLOOKUP(B184,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""-"")"),"8438435281")</f>
        <v>8438435281</v>
      </c>
      <c r="M184" s="14" t="s">
        <v>71</v>
      </c>
      <c r="N184" s="14" t="s">
        <v>433</v>
      </c>
      <c r="O184" s="34"/>
      <c r="P184" s="34"/>
      <c r="Q184" s="34"/>
      <c r="R184" s="34"/>
      <c r="S184" s="34"/>
      <c r="T184" s="34"/>
      <c r="U184" s="34"/>
      <c r="V184" s="34"/>
      <c r="W184" s="34"/>
      <c r="X184" s="35" t="s">
        <v>440</v>
      </c>
      <c r="Y184" s="34"/>
      <c r="Z184" s="22"/>
      <c r="AA184" s="22"/>
      <c r="AB184" s="22"/>
      <c r="AC184" s="22"/>
      <c r="AD184" s="22"/>
    </row>
    <row r="185">
      <c r="A185" s="21">
        <v>184.0</v>
      </c>
      <c r="B185" s="50" t="s">
        <v>441</v>
      </c>
      <c r="C185" s="16" t="str">
        <f>IFERROR(__xludf.DUMMYFUNCTION("XLOOKUP(B185,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""-"")"),"SHRIKA  S")</f>
        <v>SHRIKA  S</v>
      </c>
      <c r="D185" s="17" t="str">
        <f>IFERROR(__xludf.DUMMYFUNCTION("XLOOKUP(B185,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185" s="33" t="s">
        <v>139</v>
      </c>
      <c r="F185" s="14">
        <v>4.0</v>
      </c>
      <c r="G185" s="14" t="s">
        <v>252</v>
      </c>
      <c r="H185" s="14"/>
      <c r="I185" s="14" t="s">
        <v>432</v>
      </c>
      <c r="J185" s="14" t="s">
        <v>63</v>
      </c>
      <c r="K185" s="17" t="str">
        <f>IFERROR(__xludf.DUMMYFUNCTION("XLOOKUP(B185,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""-"")"),"shrika.al23@bitsathy.ac.in")</f>
        <v>shrika.al23@bitsathy.ac.in</v>
      </c>
      <c r="L185" s="21" t="str">
        <f>IFERROR(__xludf.DUMMYFUNCTION("XLOOKUP(B185,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""-"")"),"9360779624")</f>
        <v>9360779624</v>
      </c>
      <c r="M185" s="14" t="s">
        <v>71</v>
      </c>
      <c r="N185" s="14" t="s">
        <v>433</v>
      </c>
      <c r="O185" s="34"/>
      <c r="P185" s="34"/>
      <c r="Q185" s="34"/>
      <c r="R185" s="34"/>
      <c r="S185" s="34"/>
      <c r="T185" s="34"/>
      <c r="U185" s="34"/>
      <c r="V185" s="34"/>
      <c r="W185" s="34"/>
      <c r="X185" s="35" t="s">
        <v>442</v>
      </c>
      <c r="Y185" s="34"/>
      <c r="Z185" s="22"/>
      <c r="AA185" s="22"/>
      <c r="AB185" s="22"/>
      <c r="AC185" s="22"/>
      <c r="AD185" s="22"/>
    </row>
    <row r="186">
      <c r="A186" s="21">
        <v>185.0</v>
      </c>
      <c r="B186" s="50" t="s">
        <v>443</v>
      </c>
      <c r="C186" s="16" t="str">
        <f>IFERROR(__xludf.DUMMYFUNCTION("XLOOKUP(B186,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""-"")"),"MOHITH S")</f>
        <v>MOHITH S</v>
      </c>
      <c r="D186" s="17" t="str">
        <f>IFERROR(__xludf.DUMMYFUNCTION("XLOOKUP(B186,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86" s="33" t="s">
        <v>139</v>
      </c>
      <c r="F186" s="14">
        <v>4.0</v>
      </c>
      <c r="G186" s="14" t="s">
        <v>252</v>
      </c>
      <c r="H186" s="14"/>
      <c r="I186" s="14" t="s">
        <v>432</v>
      </c>
      <c r="J186" s="14" t="s">
        <v>63</v>
      </c>
      <c r="K186" s="17" t="str">
        <f>IFERROR(__xludf.DUMMYFUNCTION("XLOOKUP(B186,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""-"")"),"mohiths.it23@bitsathy.ac.in")</f>
        <v>mohiths.it23@bitsathy.ac.in</v>
      </c>
      <c r="L186" s="21" t="str">
        <f>IFERROR(__xludf.DUMMYFUNCTION("XLOOKUP(B186,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""-"")"),"9123542368")</f>
        <v>9123542368</v>
      </c>
      <c r="M186" s="14" t="s">
        <v>71</v>
      </c>
      <c r="N186" s="14" t="s">
        <v>433</v>
      </c>
      <c r="O186" s="34"/>
      <c r="P186" s="34"/>
      <c r="Q186" s="34"/>
      <c r="R186" s="34"/>
      <c r="S186" s="34"/>
      <c r="T186" s="34"/>
      <c r="U186" s="34"/>
      <c r="V186" s="34"/>
      <c r="W186" s="34"/>
      <c r="X186" s="35" t="s">
        <v>444</v>
      </c>
      <c r="Y186" s="34"/>
      <c r="Z186" s="22"/>
      <c r="AA186" s="22"/>
      <c r="AB186" s="22"/>
      <c r="AC186" s="22"/>
      <c r="AD186" s="22"/>
    </row>
    <row r="187">
      <c r="A187" s="21">
        <v>186.0</v>
      </c>
      <c r="B187" s="50" t="s">
        <v>445</v>
      </c>
      <c r="C187" s="16" t="str">
        <f>IFERROR(__xludf.DUMMYFUNCTION("XLOOKUP(B187,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""-"")"),"KERUTHIK S S")</f>
        <v>KERUTHIK S S</v>
      </c>
      <c r="D187" s="17" t="str">
        <f>IFERROR(__xludf.DUMMYFUNCTION("XLOOKUP(B187,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187" s="33" t="s">
        <v>139</v>
      </c>
      <c r="F187" s="14">
        <v>4.0</v>
      </c>
      <c r="G187" s="14" t="s">
        <v>252</v>
      </c>
      <c r="H187" s="14"/>
      <c r="I187" s="14" t="s">
        <v>432</v>
      </c>
      <c r="J187" s="14" t="s">
        <v>63</v>
      </c>
      <c r="K187" s="17" t="str">
        <f>IFERROR(__xludf.DUMMYFUNCTION("XLOOKUP(B187,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""-"")"),"keruthik.al23@bitsathy.ac.in")</f>
        <v>keruthik.al23@bitsathy.ac.in</v>
      </c>
      <c r="L187" s="21" t="str">
        <f>IFERROR(__xludf.DUMMYFUNCTION("XLOOKUP(B187,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""-"")"),"8122976969")</f>
        <v>8122976969</v>
      </c>
      <c r="M187" s="14" t="s">
        <v>71</v>
      </c>
      <c r="N187" s="14" t="s">
        <v>433</v>
      </c>
      <c r="O187" s="34"/>
      <c r="P187" s="34"/>
      <c r="Q187" s="34"/>
      <c r="R187" s="34"/>
      <c r="S187" s="34"/>
      <c r="T187" s="34"/>
      <c r="U187" s="34"/>
      <c r="V187" s="34"/>
      <c r="W187" s="34"/>
      <c r="X187" s="35" t="s">
        <v>446</v>
      </c>
      <c r="Y187" s="34"/>
      <c r="Z187" s="22"/>
      <c r="AA187" s="22"/>
      <c r="AB187" s="22"/>
      <c r="AC187" s="22"/>
      <c r="AD187" s="22"/>
    </row>
    <row r="188">
      <c r="A188" s="21">
        <v>187.0</v>
      </c>
      <c r="B188" s="50" t="s">
        <v>447</v>
      </c>
      <c r="C188" s="16" t="str">
        <f>IFERROR(__xludf.DUMMYFUNCTION("XLOOKUP(B188,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""-"")"),"THILAK  K")</f>
        <v>THILAK  K</v>
      </c>
      <c r="D188" s="17" t="str">
        <f>IFERROR(__xludf.DUMMYFUNCTION("XLOOKUP(B188,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188" s="33" t="s">
        <v>139</v>
      </c>
      <c r="F188" s="14">
        <v>4.0</v>
      </c>
      <c r="G188" s="14" t="s">
        <v>252</v>
      </c>
      <c r="H188" s="14"/>
      <c r="I188" s="14" t="s">
        <v>432</v>
      </c>
      <c r="J188" s="14" t="s">
        <v>63</v>
      </c>
      <c r="K188" s="17" t="str">
        <f>IFERROR(__xludf.DUMMYFUNCTION("XLOOKUP(B188,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""-"")"),"thilak.ad23@bitsathy.ac.in")</f>
        <v>thilak.ad23@bitsathy.ac.in</v>
      </c>
      <c r="L188" s="21" t="str">
        <f>IFERROR(__xludf.DUMMYFUNCTION("XLOOKUP(B188,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""-"")"),"9787534585")</f>
        <v>9787534585</v>
      </c>
      <c r="M188" s="14" t="s">
        <v>71</v>
      </c>
      <c r="N188" s="14" t="s">
        <v>433</v>
      </c>
      <c r="O188" s="34"/>
      <c r="P188" s="34"/>
      <c r="Q188" s="34"/>
      <c r="R188" s="34"/>
      <c r="S188" s="34"/>
      <c r="T188" s="34"/>
      <c r="U188" s="34"/>
      <c r="V188" s="34"/>
      <c r="W188" s="34"/>
      <c r="X188" s="35" t="s">
        <v>448</v>
      </c>
      <c r="Y188" s="34"/>
      <c r="Z188" s="22"/>
      <c r="AA188" s="22"/>
      <c r="AB188" s="22"/>
      <c r="AC188" s="22"/>
      <c r="AD188" s="22"/>
    </row>
    <row r="189">
      <c r="A189" s="21">
        <v>188.0</v>
      </c>
      <c r="B189" s="50" t="s">
        <v>449</v>
      </c>
      <c r="C189" s="16" t="str">
        <f>IFERROR(__xludf.DUMMYFUNCTION("XLOOKUP(B189,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""-"")"),"ASWITHAA B")</f>
        <v>ASWITHAA B</v>
      </c>
      <c r="D189" s="17" t="str">
        <f>IFERROR(__xludf.DUMMYFUNCTION("XLOOKUP(B189,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89" s="33" t="s">
        <v>139</v>
      </c>
      <c r="F189" s="14">
        <v>4.0</v>
      </c>
      <c r="G189" s="14" t="s">
        <v>252</v>
      </c>
      <c r="H189" s="14"/>
      <c r="I189" s="14" t="s">
        <v>432</v>
      </c>
      <c r="J189" s="14" t="s">
        <v>63</v>
      </c>
      <c r="K189" s="17" t="str">
        <f>IFERROR(__xludf.DUMMYFUNCTION("XLOOKUP(B189,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""-"")"),"aswithaa.cs23@bitsathy.ac.in")</f>
        <v>aswithaa.cs23@bitsathy.ac.in</v>
      </c>
      <c r="L189" s="21" t="str">
        <f>IFERROR(__xludf.DUMMYFUNCTION("XLOOKUP(B189,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""-"")"),"8438120364")</f>
        <v>8438120364</v>
      </c>
      <c r="M189" s="14" t="s">
        <v>71</v>
      </c>
      <c r="N189" s="14" t="s">
        <v>433</v>
      </c>
      <c r="O189" s="34"/>
      <c r="P189" s="34"/>
      <c r="Q189" s="34"/>
      <c r="R189" s="34"/>
      <c r="S189" s="34"/>
      <c r="T189" s="34"/>
      <c r="U189" s="34"/>
      <c r="V189" s="34"/>
      <c r="W189" s="34"/>
      <c r="X189" s="35" t="s">
        <v>450</v>
      </c>
      <c r="Y189" s="34"/>
      <c r="Z189" s="22"/>
      <c r="AA189" s="22"/>
      <c r="AB189" s="22"/>
      <c r="AC189" s="22"/>
      <c r="AD189" s="22"/>
    </row>
    <row r="190">
      <c r="A190" s="21">
        <v>189.0</v>
      </c>
      <c r="B190" s="50" t="s">
        <v>451</v>
      </c>
      <c r="C190" s="16" t="str">
        <f>IFERROR(__xludf.DUMMYFUNCTION("XLOOKUP(B190,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""-"")"),"RUBIKA V S")</f>
        <v>RUBIKA V S</v>
      </c>
      <c r="D190" s="17" t="str">
        <f>IFERROR(__xludf.DUMMYFUNCTION("XLOOKUP(B190,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90" s="33" t="s">
        <v>139</v>
      </c>
      <c r="F190" s="14">
        <v>4.0</v>
      </c>
      <c r="G190" s="14" t="s">
        <v>252</v>
      </c>
      <c r="H190" s="14"/>
      <c r="I190" s="14" t="s">
        <v>432</v>
      </c>
      <c r="J190" s="14" t="s">
        <v>63</v>
      </c>
      <c r="K190" s="17" t="str">
        <f>IFERROR(__xludf.DUMMYFUNCTION("XLOOKUP(B190,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""-"")"),"rubika.cs23@bitsathy.ac.in")</f>
        <v>rubika.cs23@bitsathy.ac.in</v>
      </c>
      <c r="L190" s="21" t="str">
        <f>IFERROR(__xludf.DUMMYFUNCTION("XLOOKUP(B190,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""-"")"),"9952196275")</f>
        <v>9952196275</v>
      </c>
      <c r="M190" s="14" t="s">
        <v>71</v>
      </c>
      <c r="N190" s="14" t="s">
        <v>433</v>
      </c>
      <c r="O190" s="34"/>
      <c r="P190" s="34"/>
      <c r="Q190" s="34"/>
      <c r="R190" s="34"/>
      <c r="S190" s="34"/>
      <c r="T190" s="34"/>
      <c r="U190" s="34"/>
      <c r="V190" s="34"/>
      <c r="W190" s="34"/>
      <c r="X190" s="35" t="s">
        <v>452</v>
      </c>
      <c r="Y190" s="34"/>
      <c r="Z190" s="22"/>
      <c r="AA190" s="22"/>
      <c r="AB190" s="22"/>
      <c r="AC190" s="22"/>
      <c r="AD190" s="22"/>
    </row>
    <row r="191">
      <c r="A191" s="21">
        <v>190.0</v>
      </c>
      <c r="B191" s="50" t="s">
        <v>453</v>
      </c>
      <c r="C191" s="16" t="str">
        <f>IFERROR(__xludf.DUMMYFUNCTION("XLOOKUP(B191,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""-"")"),"HARSHA VARTHINI S")</f>
        <v>HARSHA VARTHINI S</v>
      </c>
      <c r="D191" s="17" t="str">
        <f>IFERROR(__xludf.DUMMYFUNCTION("XLOOKUP(B191,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191" s="33" t="s">
        <v>139</v>
      </c>
      <c r="F191" s="14">
        <v>4.0</v>
      </c>
      <c r="G191" s="14" t="s">
        <v>252</v>
      </c>
      <c r="H191" s="14"/>
      <c r="I191" s="14" t="s">
        <v>432</v>
      </c>
      <c r="J191" s="14" t="s">
        <v>63</v>
      </c>
      <c r="K191" s="17" t="str">
        <f>IFERROR(__xludf.DUMMYFUNCTION("XLOOKUP(B191,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""-"")"),"harshavarthini.cd23@bitsathy.ac.in")</f>
        <v>harshavarthini.cd23@bitsathy.ac.in</v>
      </c>
      <c r="L191" s="21" t="str">
        <f>IFERROR(__xludf.DUMMYFUNCTION("XLOOKUP(B191,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""-"")"),"9894837410")</f>
        <v>9894837410</v>
      </c>
      <c r="M191" s="14" t="s">
        <v>71</v>
      </c>
      <c r="N191" s="14" t="s">
        <v>433</v>
      </c>
      <c r="O191" s="34"/>
      <c r="P191" s="34"/>
      <c r="Q191" s="34"/>
      <c r="R191" s="34"/>
      <c r="S191" s="34"/>
      <c r="T191" s="34"/>
      <c r="U191" s="34"/>
      <c r="V191" s="34"/>
      <c r="W191" s="34"/>
      <c r="X191" s="35" t="s">
        <v>454</v>
      </c>
      <c r="Y191" s="34"/>
      <c r="Z191" s="22"/>
      <c r="AA191" s="22"/>
      <c r="AB191" s="22"/>
      <c r="AC191" s="22"/>
      <c r="AD191" s="22"/>
    </row>
    <row r="192">
      <c r="A192" s="21">
        <v>191.0</v>
      </c>
      <c r="B192" s="50" t="s">
        <v>455</v>
      </c>
      <c r="C192" s="16" t="str">
        <f>IFERROR(__xludf.DUMMYFUNCTION("XLOOKUP(B192,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SAJITH M")</f>
        <v>MOHAMMED SAJITH M</v>
      </c>
      <c r="D192" s="17" t="str">
        <f>IFERROR(__xludf.DUMMYFUNCTION("XLOOKUP(B192,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92" s="33" t="s">
        <v>139</v>
      </c>
      <c r="F192" s="14">
        <v>4.0</v>
      </c>
      <c r="G192" s="14" t="s">
        <v>252</v>
      </c>
      <c r="H192" s="14"/>
      <c r="I192" s="14" t="s">
        <v>432</v>
      </c>
      <c r="J192" s="14" t="s">
        <v>63</v>
      </c>
      <c r="K192" s="17" t="str">
        <f>IFERROR(__xludf.DUMMYFUNCTION("XLOOKUP(B192,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""-"")"),"mohammedsajith.it23@bitsathy.ac.in")</f>
        <v>mohammedsajith.it23@bitsathy.ac.in</v>
      </c>
      <c r="L192" s="21" t="str">
        <f>IFERROR(__xludf.DUMMYFUNCTION("XLOOKUP(B192,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""-"")"),"9042489697")</f>
        <v>9042489697</v>
      </c>
      <c r="M192" s="14" t="s">
        <v>71</v>
      </c>
      <c r="N192" s="14" t="s">
        <v>433</v>
      </c>
      <c r="O192" s="34"/>
      <c r="P192" s="34"/>
      <c r="Q192" s="34"/>
      <c r="R192" s="34"/>
      <c r="S192" s="34"/>
      <c r="T192" s="34"/>
      <c r="U192" s="34"/>
      <c r="V192" s="34"/>
      <c r="W192" s="34"/>
      <c r="X192" s="35" t="s">
        <v>456</v>
      </c>
      <c r="Y192" s="34"/>
      <c r="Z192" s="22"/>
      <c r="AA192" s="22"/>
      <c r="AB192" s="22"/>
      <c r="AC192" s="22"/>
      <c r="AD192" s="22"/>
    </row>
    <row r="193">
      <c r="A193" s="21">
        <v>192.0</v>
      </c>
      <c r="B193" s="50" t="s">
        <v>457</v>
      </c>
      <c r="C193" s="16" t="str">
        <f>IFERROR(__xludf.DUMMYFUNCTION("XLOOKUP(B193,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""-"")"),"PRIYADHARSHINI K")</f>
        <v>PRIYADHARSHINI K</v>
      </c>
      <c r="D193" s="17" t="str">
        <f>IFERROR(__xludf.DUMMYFUNCTION("XLOOKUP(B193,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193" s="33" t="s">
        <v>139</v>
      </c>
      <c r="F193" s="14">
        <v>4.0</v>
      </c>
      <c r="G193" s="14" t="s">
        <v>252</v>
      </c>
      <c r="H193" s="14"/>
      <c r="I193" s="14" t="s">
        <v>432</v>
      </c>
      <c r="J193" s="14" t="s">
        <v>63</v>
      </c>
      <c r="K193" s="17" t="str">
        <f>IFERROR(__xludf.DUMMYFUNCTION("XLOOKUP(B193,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""-"")"),"priyadharshinik.al23@bitsathy.ac.in")</f>
        <v>priyadharshinik.al23@bitsathy.ac.in</v>
      </c>
      <c r="L193" s="21" t="str">
        <f>IFERROR(__xludf.DUMMYFUNCTION("XLOOKUP(B193,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""-"")"),"8300922486")</f>
        <v>8300922486</v>
      </c>
      <c r="M193" s="14" t="s">
        <v>71</v>
      </c>
      <c r="N193" s="14" t="s">
        <v>433</v>
      </c>
      <c r="O193" s="34"/>
      <c r="P193" s="34"/>
      <c r="Q193" s="34"/>
      <c r="R193" s="34"/>
      <c r="S193" s="34"/>
      <c r="T193" s="34"/>
      <c r="U193" s="34"/>
      <c r="V193" s="34"/>
      <c r="W193" s="34"/>
      <c r="X193" s="35" t="s">
        <v>458</v>
      </c>
      <c r="Y193" s="34"/>
      <c r="Z193" s="22"/>
      <c r="AA193" s="22"/>
      <c r="AB193" s="22"/>
      <c r="AC193" s="22"/>
      <c r="AD193" s="22"/>
    </row>
    <row r="194">
      <c r="A194" s="21">
        <v>193.0</v>
      </c>
      <c r="B194" s="50" t="s">
        <v>459</v>
      </c>
      <c r="C194" s="16" t="str">
        <f>IFERROR(__xludf.DUMMYFUNCTION("XLOOKUP(B194,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""-"")"),"MUKESH KANNA Y")</f>
        <v>MUKESH KANNA Y</v>
      </c>
      <c r="D194" s="17" t="str">
        <f>IFERROR(__xludf.DUMMYFUNCTION("XLOOKUP(B194,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94" s="33" t="s">
        <v>139</v>
      </c>
      <c r="F194" s="14">
        <v>4.0</v>
      </c>
      <c r="G194" s="14" t="s">
        <v>252</v>
      </c>
      <c r="H194" s="14"/>
      <c r="I194" s="14" t="s">
        <v>432</v>
      </c>
      <c r="J194" s="14" t="s">
        <v>63</v>
      </c>
      <c r="K194" s="17" t="str">
        <f>IFERROR(__xludf.DUMMYFUNCTION("XLOOKUP(B194,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""-"")"),"mukeshkanna.it23@bitsathy.ac.in")</f>
        <v>mukeshkanna.it23@bitsathy.ac.in</v>
      </c>
      <c r="L194" s="21" t="str">
        <f>IFERROR(__xludf.DUMMYFUNCTION("XLOOKUP(B194,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""-"")"),"9025997210")</f>
        <v>9025997210</v>
      </c>
      <c r="M194" s="14" t="s">
        <v>71</v>
      </c>
      <c r="N194" s="14" t="s">
        <v>433</v>
      </c>
      <c r="O194" s="34"/>
      <c r="P194" s="34"/>
      <c r="Q194" s="34"/>
      <c r="R194" s="34"/>
      <c r="S194" s="34"/>
      <c r="T194" s="34"/>
      <c r="U194" s="34"/>
      <c r="V194" s="34"/>
      <c r="W194" s="34"/>
      <c r="X194" s="35" t="s">
        <v>460</v>
      </c>
      <c r="Y194" s="34"/>
      <c r="Z194" s="22"/>
      <c r="AA194" s="22"/>
      <c r="AB194" s="22"/>
      <c r="AC194" s="22"/>
      <c r="AD194" s="22"/>
    </row>
    <row r="195">
      <c r="A195" s="21">
        <v>194.0</v>
      </c>
      <c r="B195" s="50" t="s">
        <v>461</v>
      </c>
      <c r="C195" s="16" t="str">
        <f>IFERROR(__xludf.DUMMYFUNCTION("XLOOKUP(B195,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""-"")"),"NANCY R")</f>
        <v>NANCY R</v>
      </c>
      <c r="D195" s="17" t="str">
        <f>IFERROR(__xludf.DUMMYFUNCTION("XLOOKUP(B195,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195" s="33" t="s">
        <v>139</v>
      </c>
      <c r="F195" s="14">
        <v>4.0</v>
      </c>
      <c r="G195" s="14" t="s">
        <v>252</v>
      </c>
      <c r="H195" s="14"/>
      <c r="I195" s="14" t="s">
        <v>432</v>
      </c>
      <c r="J195" s="14" t="s">
        <v>63</v>
      </c>
      <c r="K195" s="17" t="str">
        <f>IFERROR(__xludf.DUMMYFUNCTION("XLOOKUP(B195,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""-"")"),"nancy.cs23@bitsathy.ac.in")</f>
        <v>nancy.cs23@bitsathy.ac.in</v>
      </c>
      <c r="L195" s="21" t="str">
        <f>IFERROR(__xludf.DUMMYFUNCTION("XLOOKUP(B195,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""-"")"),"8015912771")</f>
        <v>8015912771</v>
      </c>
      <c r="M195" s="14" t="s">
        <v>71</v>
      </c>
      <c r="N195" s="14" t="s">
        <v>433</v>
      </c>
      <c r="O195" s="34"/>
      <c r="P195" s="34"/>
      <c r="Q195" s="34"/>
      <c r="R195" s="34"/>
      <c r="S195" s="34"/>
      <c r="T195" s="34"/>
      <c r="U195" s="34"/>
      <c r="V195" s="34"/>
      <c r="W195" s="34"/>
      <c r="X195" s="35" t="s">
        <v>462</v>
      </c>
      <c r="Y195" s="34"/>
      <c r="Z195" s="22"/>
      <c r="AA195" s="22"/>
      <c r="AB195" s="22"/>
      <c r="AC195" s="22"/>
      <c r="AD195" s="22"/>
    </row>
    <row r="196">
      <c r="A196" s="21">
        <v>195.0</v>
      </c>
      <c r="B196" s="50" t="s">
        <v>463</v>
      </c>
      <c r="C196" s="16" t="str">
        <f>IFERROR(__xludf.DUMMYFUNCTION("XLOOKUP(B196,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""-"")"),"SABESH PRANITH J")</f>
        <v>SABESH PRANITH J</v>
      </c>
      <c r="D196" s="17" t="str">
        <f>IFERROR(__xludf.DUMMYFUNCTION("XLOOKUP(B196,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196" s="33" t="s">
        <v>139</v>
      </c>
      <c r="F196" s="14">
        <v>4.0</v>
      </c>
      <c r="G196" s="14" t="s">
        <v>252</v>
      </c>
      <c r="H196" s="14"/>
      <c r="I196" s="14" t="s">
        <v>432</v>
      </c>
      <c r="J196" s="14" t="s">
        <v>63</v>
      </c>
      <c r="K196" s="17" t="str">
        <f>IFERROR(__xludf.DUMMYFUNCTION("XLOOKUP(B196,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""-"")"),"sabeshpranith.it23@bitsathy.ac.in")</f>
        <v>sabeshpranith.it23@bitsathy.ac.in</v>
      </c>
      <c r="L196" s="21" t="str">
        <f>IFERROR(__xludf.DUMMYFUNCTION("XLOOKUP(B196,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""-"")"),"9943296099")</f>
        <v>9943296099</v>
      </c>
      <c r="M196" s="14" t="s">
        <v>71</v>
      </c>
      <c r="N196" s="14" t="s">
        <v>433</v>
      </c>
      <c r="O196" s="34"/>
      <c r="P196" s="34"/>
      <c r="Q196" s="34"/>
      <c r="R196" s="34"/>
      <c r="S196" s="34"/>
      <c r="T196" s="34"/>
      <c r="U196" s="34"/>
      <c r="V196" s="34"/>
      <c r="W196" s="34"/>
      <c r="X196" s="35" t="s">
        <v>464</v>
      </c>
      <c r="Y196" s="34"/>
      <c r="Z196" s="22"/>
      <c r="AA196" s="22"/>
      <c r="AB196" s="22"/>
      <c r="AC196" s="22"/>
      <c r="AD196" s="22"/>
    </row>
    <row r="197">
      <c r="A197" s="21">
        <v>196.0</v>
      </c>
      <c r="B197" s="50" t="s">
        <v>465</v>
      </c>
      <c r="C197" s="16" t="str">
        <f>IFERROR(__xludf.DUMMYFUNCTION("XLOOKUP(B197,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""-"")"),"MAHILESH A")</f>
        <v>MAHILESH A</v>
      </c>
      <c r="D197" s="17" t="str">
        <f>IFERROR(__xludf.DUMMYFUNCTION("XLOOKUP(B197,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197" s="33" t="s">
        <v>139</v>
      </c>
      <c r="F197" s="14">
        <v>4.0</v>
      </c>
      <c r="G197" s="14" t="s">
        <v>252</v>
      </c>
      <c r="H197" s="14"/>
      <c r="I197" s="14" t="s">
        <v>432</v>
      </c>
      <c r="J197" s="14" t="s">
        <v>63</v>
      </c>
      <c r="K197" s="17" t="str">
        <f>IFERROR(__xludf.DUMMYFUNCTION("XLOOKUP(B197,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""-"")"),"mahilesh.cb23@bitsathy.ac.in")</f>
        <v>mahilesh.cb23@bitsathy.ac.in</v>
      </c>
      <c r="L197" s="21" t="str">
        <f>IFERROR(__xludf.DUMMYFUNCTION("XLOOKUP(B197,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""-"")"),"9566364343")</f>
        <v>9566364343</v>
      </c>
      <c r="M197" s="14" t="s">
        <v>71</v>
      </c>
      <c r="N197" s="14" t="s">
        <v>433</v>
      </c>
      <c r="O197" s="34"/>
      <c r="P197" s="34"/>
      <c r="Q197" s="34"/>
      <c r="R197" s="34"/>
      <c r="S197" s="34"/>
      <c r="T197" s="34"/>
      <c r="U197" s="34"/>
      <c r="V197" s="34"/>
      <c r="W197" s="34"/>
      <c r="X197" s="35" t="s">
        <v>466</v>
      </c>
      <c r="Y197" s="34"/>
      <c r="Z197" s="22"/>
      <c r="AA197" s="22"/>
      <c r="AB197" s="22"/>
      <c r="AC197" s="22"/>
      <c r="AD197" s="22"/>
    </row>
    <row r="198">
      <c r="A198" s="21">
        <v>197.0</v>
      </c>
      <c r="B198" s="50" t="s">
        <v>467</v>
      </c>
      <c r="C198" s="16" t="str">
        <f>IFERROR(__xludf.DUMMYFUNCTION("XLOOKUP(B198,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""-"")"),"LOGITHKUMAR K R")</f>
        <v>LOGITHKUMAR K R</v>
      </c>
      <c r="D198" s="17" t="str">
        <f>IFERROR(__xludf.DUMMYFUNCTION("XLOOKUP(B198,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198" s="33" t="s">
        <v>139</v>
      </c>
      <c r="F198" s="14">
        <v>4.0</v>
      </c>
      <c r="G198" s="14" t="s">
        <v>252</v>
      </c>
      <c r="H198" s="14"/>
      <c r="I198" s="14" t="s">
        <v>432</v>
      </c>
      <c r="J198" s="14" t="s">
        <v>63</v>
      </c>
      <c r="K198" s="17" t="str">
        <f>IFERROR(__xludf.DUMMYFUNCTION("XLOOKUP(B198,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""-"")"),"logithkumar.cd23@bitsathy.ac.in")</f>
        <v>logithkumar.cd23@bitsathy.ac.in</v>
      </c>
      <c r="L198" s="21" t="str">
        <f>IFERROR(__xludf.DUMMYFUNCTION("XLOOKUP(B198,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""-"")"),"9443696189")</f>
        <v>9443696189</v>
      </c>
      <c r="M198" s="14" t="s">
        <v>71</v>
      </c>
      <c r="N198" s="14" t="s">
        <v>433</v>
      </c>
      <c r="O198" s="34"/>
      <c r="P198" s="34"/>
      <c r="Q198" s="34"/>
      <c r="R198" s="34"/>
      <c r="S198" s="34"/>
      <c r="T198" s="34"/>
      <c r="U198" s="34"/>
      <c r="V198" s="34"/>
      <c r="W198" s="34"/>
      <c r="X198" s="35" t="s">
        <v>468</v>
      </c>
      <c r="Y198" s="34"/>
      <c r="Z198" s="22"/>
      <c r="AA198" s="22"/>
      <c r="AB198" s="22"/>
      <c r="AC198" s="22"/>
      <c r="AD198" s="22"/>
    </row>
    <row r="199">
      <c r="A199" s="21">
        <v>198.0</v>
      </c>
      <c r="B199" s="50" t="s">
        <v>469</v>
      </c>
      <c r="C199" s="16" t="str">
        <f>IFERROR(__xludf.DUMMYFUNCTION("XLOOKUP(B199,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""-"")"),"DHARANISH S")</f>
        <v>DHARANISH S</v>
      </c>
      <c r="D199" s="17" t="str">
        <f>IFERROR(__xludf.DUMMYFUNCTION("XLOOKUP(B199,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199" s="33" t="s">
        <v>139</v>
      </c>
      <c r="F199" s="14">
        <v>4.0</v>
      </c>
      <c r="G199" s="14" t="s">
        <v>252</v>
      </c>
      <c r="H199" s="14"/>
      <c r="I199" s="14" t="s">
        <v>432</v>
      </c>
      <c r="J199" s="14" t="s">
        <v>63</v>
      </c>
      <c r="K199" s="17" t="str">
        <f>IFERROR(__xludf.DUMMYFUNCTION("XLOOKUP(B199,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""-"")"),"dharanish.se23@bitsathy.ac.in")</f>
        <v>dharanish.se23@bitsathy.ac.in</v>
      </c>
      <c r="L199" s="21" t="str">
        <f>IFERROR(__xludf.DUMMYFUNCTION("XLOOKUP(B199,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""-"")"),"9003585335")</f>
        <v>9003585335</v>
      </c>
      <c r="M199" s="14" t="s">
        <v>71</v>
      </c>
      <c r="N199" s="14" t="s">
        <v>433</v>
      </c>
      <c r="O199" s="34"/>
      <c r="P199" s="34"/>
      <c r="Q199" s="34"/>
      <c r="R199" s="34"/>
      <c r="S199" s="34"/>
      <c r="T199" s="34"/>
      <c r="U199" s="34"/>
      <c r="V199" s="34"/>
      <c r="W199" s="34"/>
      <c r="X199" s="35" t="s">
        <v>470</v>
      </c>
      <c r="Y199" s="34"/>
      <c r="Z199" s="22"/>
      <c r="AA199" s="22"/>
      <c r="AB199" s="22"/>
      <c r="AC199" s="22"/>
      <c r="AD199" s="22"/>
    </row>
    <row r="200">
      <c r="A200" s="21">
        <v>199.0</v>
      </c>
      <c r="B200" s="50" t="s">
        <v>471</v>
      </c>
      <c r="C200" s="16" t="str">
        <f>IFERROR(__xludf.DUMMYFUNCTION("XLOOKUP(B200,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""-"")"),"DHARUNKUMAR M")</f>
        <v>DHARUNKUMAR M</v>
      </c>
      <c r="D200" s="17" t="str">
        <f>IFERROR(__xludf.DUMMYFUNCTION("XLOOKUP(B200,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00" s="33" t="s">
        <v>139</v>
      </c>
      <c r="F200" s="14">
        <v>4.0</v>
      </c>
      <c r="G200" s="14" t="s">
        <v>252</v>
      </c>
      <c r="H200" s="14"/>
      <c r="I200" s="14" t="s">
        <v>432</v>
      </c>
      <c r="J200" s="14" t="s">
        <v>63</v>
      </c>
      <c r="K200" s="17" t="str">
        <f>IFERROR(__xludf.DUMMYFUNCTION("XLOOKUP(B200,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""-"")"),"dharunkumar.cb23@bitsathy.ac.in")</f>
        <v>dharunkumar.cb23@bitsathy.ac.in</v>
      </c>
      <c r="L200" s="21" t="str">
        <f>IFERROR(__xludf.DUMMYFUNCTION("XLOOKUP(B200,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""-"")"),"9042572552")</f>
        <v>9042572552</v>
      </c>
      <c r="M200" s="14" t="s">
        <v>71</v>
      </c>
      <c r="N200" s="14" t="s">
        <v>433</v>
      </c>
      <c r="O200" s="34"/>
      <c r="P200" s="34"/>
      <c r="Q200" s="34"/>
      <c r="R200" s="34"/>
      <c r="S200" s="34"/>
      <c r="T200" s="34"/>
      <c r="U200" s="34"/>
      <c r="V200" s="34"/>
      <c r="W200" s="34"/>
      <c r="X200" s="35" t="s">
        <v>472</v>
      </c>
      <c r="Y200" s="34"/>
      <c r="Z200" s="22"/>
      <c r="AA200" s="22"/>
      <c r="AB200" s="22"/>
      <c r="AC200" s="22"/>
      <c r="AD200" s="22"/>
    </row>
    <row r="201">
      <c r="A201" s="21">
        <v>200.0</v>
      </c>
      <c r="B201" s="50" t="s">
        <v>473</v>
      </c>
      <c r="C201" s="16" t="str">
        <f>IFERROR(__xludf.DUMMYFUNCTION("XLOOKUP(B201,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""-"")"),"NANDHITHA  K")</f>
        <v>NANDHITHA  K</v>
      </c>
      <c r="D201" s="17" t="str">
        <f>IFERROR(__xludf.DUMMYFUNCTION("XLOOKUP(B201,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01" s="33" t="s">
        <v>139</v>
      </c>
      <c r="F201" s="14">
        <v>4.0</v>
      </c>
      <c r="G201" s="14" t="s">
        <v>252</v>
      </c>
      <c r="H201" s="14"/>
      <c r="I201" s="14" t="s">
        <v>432</v>
      </c>
      <c r="J201" s="14" t="s">
        <v>63</v>
      </c>
      <c r="K201" s="17" t="str">
        <f>IFERROR(__xludf.DUMMYFUNCTION("XLOOKUP(B201,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""-"")"),"nandhitha.cs23@bitsathy.ac.in")</f>
        <v>nandhitha.cs23@bitsathy.ac.in</v>
      </c>
      <c r="L201" s="21" t="str">
        <f>IFERROR(__xludf.DUMMYFUNCTION("XLOOKUP(B201,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""-"")"),"9952295671")</f>
        <v>9952295671</v>
      </c>
      <c r="M201" s="14" t="s">
        <v>71</v>
      </c>
      <c r="N201" s="14" t="s">
        <v>433</v>
      </c>
      <c r="O201" s="34"/>
      <c r="P201" s="34"/>
      <c r="Q201" s="34"/>
      <c r="R201" s="34"/>
      <c r="S201" s="34"/>
      <c r="T201" s="34"/>
      <c r="U201" s="34"/>
      <c r="V201" s="34"/>
      <c r="W201" s="34"/>
      <c r="X201" s="35" t="s">
        <v>474</v>
      </c>
      <c r="Y201" s="34"/>
      <c r="Z201" s="22"/>
      <c r="AA201" s="22"/>
      <c r="AB201" s="22"/>
      <c r="AC201" s="22"/>
      <c r="AD201" s="22"/>
    </row>
    <row r="202">
      <c r="A202" s="21">
        <v>201.0</v>
      </c>
      <c r="B202" s="50" t="s">
        <v>475</v>
      </c>
      <c r="C202" s="16" t="str">
        <f>IFERROR(__xludf.DUMMYFUNCTION("XLOOKUP(B202,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""-"")"),"RITHIKESWARAN M")</f>
        <v>RITHIKESWARAN M</v>
      </c>
      <c r="D202" s="17" t="str">
        <f>IFERROR(__xludf.DUMMYFUNCTION("XLOOKUP(B202,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02" s="33" t="s">
        <v>139</v>
      </c>
      <c r="F202" s="14">
        <v>4.0</v>
      </c>
      <c r="G202" s="14" t="s">
        <v>252</v>
      </c>
      <c r="H202" s="14"/>
      <c r="I202" s="14" t="s">
        <v>432</v>
      </c>
      <c r="J202" s="14" t="s">
        <v>99</v>
      </c>
      <c r="K202" s="17" t="str">
        <f>IFERROR(__xludf.DUMMYFUNCTION("XLOOKUP(B202,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""-"")"),"rithikeswaran.it23@bitsathy.ac.in")</f>
        <v>rithikeswaran.it23@bitsathy.ac.in</v>
      </c>
      <c r="L202" s="21" t="str">
        <f>IFERROR(__xludf.DUMMYFUNCTION("XLOOKUP(B202,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""-"")"),"9344681476")</f>
        <v>9344681476</v>
      </c>
      <c r="M202" s="14" t="s">
        <v>71</v>
      </c>
      <c r="N202" s="14" t="s">
        <v>433</v>
      </c>
      <c r="O202" s="34"/>
      <c r="P202" s="34"/>
      <c r="Q202" s="34"/>
      <c r="R202" s="34"/>
      <c r="S202" s="34"/>
      <c r="T202" s="34"/>
      <c r="U202" s="34"/>
      <c r="V202" s="34"/>
      <c r="W202" s="34"/>
      <c r="X202" s="35" t="s">
        <v>476</v>
      </c>
      <c r="Y202" s="34"/>
      <c r="Z202" s="22"/>
      <c r="AA202" s="22"/>
      <c r="AB202" s="22"/>
      <c r="AC202" s="22"/>
      <c r="AD202" s="22"/>
    </row>
    <row r="203">
      <c r="A203" s="21">
        <v>202.0</v>
      </c>
      <c r="B203" s="50" t="s">
        <v>477</v>
      </c>
      <c r="C203" s="16" t="str">
        <f>IFERROR(__xludf.DUMMYFUNCTION("XLOOKUP(B203,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""-"")"),"SHIYAM  D")</f>
        <v>SHIYAM  D</v>
      </c>
      <c r="D203" s="17" t="str">
        <f>IFERROR(__xludf.DUMMYFUNCTION("XLOOKUP(B203,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03" s="33" t="s">
        <v>139</v>
      </c>
      <c r="F203" s="14">
        <v>4.0</v>
      </c>
      <c r="G203" s="14" t="s">
        <v>252</v>
      </c>
      <c r="H203" s="14"/>
      <c r="I203" s="14" t="s">
        <v>432</v>
      </c>
      <c r="J203" s="14" t="s">
        <v>63</v>
      </c>
      <c r="K203" s="17" t="str">
        <f>IFERROR(__xludf.DUMMYFUNCTION("XLOOKUP(B203,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""-"")"),"shiyam.ad23@bitsathy.ac.in")</f>
        <v>shiyam.ad23@bitsathy.ac.in</v>
      </c>
      <c r="L203" s="21" t="str">
        <f>IFERROR(__xludf.DUMMYFUNCTION("XLOOKUP(B203,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""-"")"),"8940677787")</f>
        <v>8940677787</v>
      </c>
      <c r="M203" s="14" t="s">
        <v>71</v>
      </c>
      <c r="N203" s="14" t="s">
        <v>433</v>
      </c>
      <c r="O203" s="34"/>
      <c r="P203" s="34"/>
      <c r="Q203" s="34"/>
      <c r="R203" s="34"/>
      <c r="S203" s="34"/>
      <c r="T203" s="34"/>
      <c r="U203" s="34"/>
      <c r="V203" s="34"/>
      <c r="W203" s="34"/>
      <c r="X203" s="35" t="s">
        <v>478</v>
      </c>
      <c r="Y203" s="34"/>
      <c r="Z203" s="22"/>
      <c r="AA203" s="22"/>
      <c r="AB203" s="22"/>
      <c r="AC203" s="22"/>
      <c r="AD203" s="22"/>
    </row>
    <row r="204">
      <c r="A204" s="21">
        <v>203.0</v>
      </c>
      <c r="B204" s="50" t="s">
        <v>479</v>
      </c>
      <c r="C204" s="16" t="str">
        <f>IFERROR(__xludf.DUMMYFUNCTION("XLOOKUP(B204,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""-"")"),"THARANIKA R")</f>
        <v>THARANIKA R</v>
      </c>
      <c r="D204" s="17" t="str">
        <f>IFERROR(__xludf.DUMMYFUNCTION("XLOOKUP(B204,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04" s="33" t="s">
        <v>139</v>
      </c>
      <c r="F204" s="14">
        <v>4.0</v>
      </c>
      <c r="G204" s="14" t="s">
        <v>252</v>
      </c>
      <c r="H204" s="14"/>
      <c r="I204" s="14" t="s">
        <v>432</v>
      </c>
      <c r="J204" s="14" t="s">
        <v>63</v>
      </c>
      <c r="K204" s="17" t="str">
        <f>IFERROR(__xludf.DUMMYFUNCTION("XLOOKUP(B204,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""-"")"),"tharanika.cd23@bitsathy.ac.in")</f>
        <v>tharanika.cd23@bitsathy.ac.in</v>
      </c>
      <c r="L204" s="21" t="str">
        <f>IFERROR(__xludf.DUMMYFUNCTION("XLOOKUP(B204,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""-"")"),"9043453579")</f>
        <v>9043453579</v>
      </c>
      <c r="M204" s="14" t="s">
        <v>71</v>
      </c>
      <c r="N204" s="14" t="s">
        <v>433</v>
      </c>
      <c r="O204" s="34"/>
      <c r="P204" s="34"/>
      <c r="Q204" s="34"/>
      <c r="R204" s="34"/>
      <c r="S204" s="34"/>
      <c r="T204" s="34"/>
      <c r="U204" s="34"/>
      <c r="V204" s="34"/>
      <c r="W204" s="34"/>
      <c r="X204" s="35" t="s">
        <v>480</v>
      </c>
      <c r="Y204" s="34"/>
      <c r="Z204" s="22"/>
      <c r="AA204" s="22"/>
      <c r="AB204" s="22"/>
      <c r="AC204" s="22"/>
      <c r="AD204" s="22"/>
    </row>
    <row r="205">
      <c r="A205" s="21">
        <v>204.0</v>
      </c>
      <c r="B205" s="50" t="s">
        <v>481</v>
      </c>
      <c r="C205" s="16" t="str">
        <f>IFERROR(__xludf.DUMMYFUNCTION("XLOOKUP(B205,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""-"")"),"HARISMITHA S S")</f>
        <v>HARISMITHA S S</v>
      </c>
      <c r="D205" s="17" t="str">
        <f>IFERROR(__xludf.DUMMYFUNCTION("XLOOKUP(B205,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05" s="33" t="s">
        <v>139</v>
      </c>
      <c r="F205" s="14">
        <v>4.0</v>
      </c>
      <c r="G205" s="14" t="s">
        <v>252</v>
      </c>
      <c r="H205" s="14"/>
      <c r="I205" s="14" t="s">
        <v>432</v>
      </c>
      <c r="J205" s="14" t="s">
        <v>63</v>
      </c>
      <c r="K205" s="17" t="str">
        <f>IFERROR(__xludf.DUMMYFUNCTION("XLOOKUP(B205,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""-"")"),"harismitha.cs23@bitsathy.ac.in")</f>
        <v>harismitha.cs23@bitsathy.ac.in</v>
      </c>
      <c r="L205" s="21" t="str">
        <f>IFERROR(__xludf.DUMMYFUNCTION("XLOOKUP(B205,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""-"")"),"9943771921")</f>
        <v>9943771921</v>
      </c>
      <c r="M205" s="14" t="s">
        <v>71</v>
      </c>
      <c r="N205" s="14" t="s">
        <v>433</v>
      </c>
      <c r="O205" s="34"/>
      <c r="P205" s="34"/>
      <c r="Q205" s="34"/>
      <c r="R205" s="34"/>
      <c r="S205" s="34"/>
      <c r="T205" s="34"/>
      <c r="U205" s="34"/>
      <c r="V205" s="34"/>
      <c r="W205" s="34"/>
      <c r="X205" s="35" t="s">
        <v>482</v>
      </c>
      <c r="Y205" s="34"/>
      <c r="Z205" s="22"/>
      <c r="AA205" s="22"/>
      <c r="AB205" s="22"/>
      <c r="AC205" s="22"/>
      <c r="AD205" s="22"/>
    </row>
    <row r="206">
      <c r="A206" s="21">
        <v>205.0</v>
      </c>
      <c r="B206" s="50" t="s">
        <v>483</v>
      </c>
      <c r="C206" s="16" t="str">
        <f>IFERROR(__xludf.DUMMYFUNCTION("XLOOKUP(B206,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""-"")"),"JAYAMUGUNTHA P")</f>
        <v>JAYAMUGUNTHA P</v>
      </c>
      <c r="D206" s="17" t="str">
        <f>IFERROR(__xludf.DUMMYFUNCTION("XLOOKUP(B206,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06" s="33" t="s">
        <v>139</v>
      </c>
      <c r="F206" s="14">
        <v>4.0</v>
      </c>
      <c r="G206" s="14" t="s">
        <v>252</v>
      </c>
      <c r="H206" s="14"/>
      <c r="I206" s="14" t="s">
        <v>432</v>
      </c>
      <c r="J206" s="14" t="s">
        <v>63</v>
      </c>
      <c r="K206" s="17" t="str">
        <f>IFERROR(__xludf.DUMMYFUNCTION("XLOOKUP(B206,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""-"")"),"jayamuguntha.cs23@bitsathy.ac.in")</f>
        <v>jayamuguntha.cs23@bitsathy.ac.in</v>
      </c>
      <c r="L206" s="21" t="str">
        <f>IFERROR(__xludf.DUMMYFUNCTION("XLOOKUP(B206,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""-"")"),"9361704858")</f>
        <v>9361704858</v>
      </c>
      <c r="M206" s="14" t="s">
        <v>71</v>
      </c>
      <c r="N206" s="14" t="s">
        <v>433</v>
      </c>
      <c r="O206" s="34"/>
      <c r="P206" s="34"/>
      <c r="Q206" s="34"/>
      <c r="R206" s="34"/>
      <c r="S206" s="34"/>
      <c r="T206" s="34"/>
      <c r="U206" s="34"/>
      <c r="V206" s="34"/>
      <c r="W206" s="34"/>
      <c r="X206" s="35" t="s">
        <v>484</v>
      </c>
      <c r="Y206" s="34"/>
      <c r="Z206" s="22"/>
      <c r="AA206" s="22"/>
      <c r="AB206" s="22"/>
      <c r="AC206" s="22"/>
      <c r="AD206" s="22"/>
    </row>
    <row r="207">
      <c r="A207" s="21">
        <v>206.0</v>
      </c>
      <c r="B207" s="50" t="s">
        <v>485</v>
      </c>
      <c r="C207" s="16" t="str">
        <f>IFERROR(__xludf.DUMMYFUNCTION("XLOOKUP(B207,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""-"")"),"MONISH V")</f>
        <v>MONISH V</v>
      </c>
      <c r="D207" s="17" t="str">
        <f>IFERROR(__xludf.DUMMYFUNCTION("XLOOKUP(B207,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07" s="33" t="s">
        <v>139</v>
      </c>
      <c r="F207" s="14">
        <v>4.0</v>
      </c>
      <c r="G207" s="14" t="s">
        <v>252</v>
      </c>
      <c r="H207" s="14"/>
      <c r="I207" s="14" t="s">
        <v>432</v>
      </c>
      <c r="J207" s="14" t="s">
        <v>63</v>
      </c>
      <c r="K207" s="17" t="str">
        <f>IFERROR(__xludf.DUMMYFUNCTION("XLOOKUP(B207,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""-"")"),"monish.cs23@bitsathy.ac.in")</f>
        <v>monish.cs23@bitsathy.ac.in</v>
      </c>
      <c r="L207" s="21" t="str">
        <f>IFERROR(__xludf.DUMMYFUNCTION("XLOOKUP(B207,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""-"")"),"9500266480")</f>
        <v>9500266480</v>
      </c>
      <c r="M207" s="14" t="s">
        <v>71</v>
      </c>
      <c r="N207" s="14" t="s">
        <v>433</v>
      </c>
      <c r="O207" s="34"/>
      <c r="P207" s="34"/>
      <c r="Q207" s="34"/>
      <c r="R207" s="34"/>
      <c r="S207" s="34"/>
      <c r="T207" s="34"/>
      <c r="U207" s="34"/>
      <c r="V207" s="34"/>
      <c r="W207" s="34"/>
      <c r="X207" s="35" t="s">
        <v>486</v>
      </c>
      <c r="Y207" s="34"/>
      <c r="Z207" s="22"/>
      <c r="AA207" s="22"/>
      <c r="AB207" s="22"/>
      <c r="AC207" s="22"/>
      <c r="AD207" s="22"/>
    </row>
    <row r="208">
      <c r="A208" s="21">
        <v>207.0</v>
      </c>
      <c r="B208" s="50" t="s">
        <v>487</v>
      </c>
      <c r="C208" s="16" t="str">
        <f>IFERROR(__xludf.DUMMYFUNCTION("XLOOKUP(B208,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""-"")"),"JEEVA S")</f>
        <v>JEEVA S</v>
      </c>
      <c r="D208" s="17" t="str">
        <f>IFERROR(__xludf.DUMMYFUNCTION("XLOOKUP(B208,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08" s="33" t="s">
        <v>139</v>
      </c>
      <c r="F208" s="14">
        <v>4.0</v>
      </c>
      <c r="G208" s="14" t="s">
        <v>252</v>
      </c>
      <c r="H208" s="14"/>
      <c r="I208" s="14" t="s">
        <v>432</v>
      </c>
      <c r="J208" s="14" t="s">
        <v>63</v>
      </c>
      <c r="K208" s="17" t="str">
        <f>IFERROR(__xludf.DUMMYFUNCTION("XLOOKUP(B208,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""-"")"),"jeeva.it23@bitsathy.ac.in")</f>
        <v>jeeva.it23@bitsathy.ac.in</v>
      </c>
      <c r="L208" s="21" t="str">
        <f>IFERROR(__xludf.DUMMYFUNCTION("XLOOKUP(B208,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""-"")"),"8122552155")</f>
        <v>8122552155</v>
      </c>
      <c r="M208" s="14" t="s">
        <v>71</v>
      </c>
      <c r="N208" s="14" t="s">
        <v>433</v>
      </c>
      <c r="O208" s="34"/>
      <c r="P208" s="34"/>
      <c r="Q208" s="34"/>
      <c r="R208" s="34"/>
      <c r="S208" s="34"/>
      <c r="T208" s="34"/>
      <c r="U208" s="34"/>
      <c r="V208" s="34"/>
      <c r="W208" s="34"/>
      <c r="X208" s="35" t="s">
        <v>488</v>
      </c>
      <c r="Y208" s="34"/>
      <c r="Z208" s="22"/>
      <c r="AA208" s="22"/>
      <c r="AB208" s="22"/>
      <c r="AC208" s="22"/>
      <c r="AD208" s="22"/>
    </row>
    <row r="209">
      <c r="A209" s="21">
        <v>208.0</v>
      </c>
      <c r="B209" s="50" t="s">
        <v>489</v>
      </c>
      <c r="C209" s="16" t="str">
        <f>IFERROR(__xludf.DUMMYFUNCTION("XLOOKUP(B209,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""-"")"),"SRUTHI M")</f>
        <v>SRUTHI M</v>
      </c>
      <c r="D209" s="17" t="str">
        <f>IFERROR(__xludf.DUMMYFUNCTION("XLOOKUP(B209,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09" s="33" t="s">
        <v>139</v>
      </c>
      <c r="F209" s="14">
        <v>4.0</v>
      </c>
      <c r="G209" s="14" t="s">
        <v>252</v>
      </c>
      <c r="H209" s="14"/>
      <c r="I209" s="14" t="s">
        <v>432</v>
      </c>
      <c r="J209" s="14" t="s">
        <v>63</v>
      </c>
      <c r="K209" s="17" t="str">
        <f>IFERROR(__xludf.DUMMYFUNCTION("XLOOKUP(B209,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""-"")"),"sruthi.cs23@bitsathy.ac.in")</f>
        <v>sruthi.cs23@bitsathy.ac.in</v>
      </c>
      <c r="L209" s="21" t="str">
        <f>IFERROR(__xludf.DUMMYFUNCTION("XLOOKUP(B209,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""-"")"),"8838563323")</f>
        <v>8838563323</v>
      </c>
      <c r="M209" s="14" t="s">
        <v>71</v>
      </c>
      <c r="N209" s="14" t="s">
        <v>433</v>
      </c>
      <c r="O209" s="34"/>
      <c r="P209" s="34"/>
      <c r="Q209" s="34"/>
      <c r="R209" s="34"/>
      <c r="S209" s="34"/>
      <c r="T209" s="34"/>
      <c r="U209" s="34"/>
      <c r="V209" s="34"/>
      <c r="W209" s="34"/>
      <c r="X209" s="35" t="s">
        <v>490</v>
      </c>
      <c r="Y209" s="34"/>
      <c r="Z209" s="22"/>
      <c r="AA209" s="22"/>
      <c r="AB209" s="22"/>
      <c r="AC209" s="22"/>
      <c r="AD209" s="22"/>
    </row>
    <row r="210">
      <c r="A210" s="21">
        <v>209.0</v>
      </c>
      <c r="B210" s="50" t="s">
        <v>491</v>
      </c>
      <c r="C210" s="16" t="str">
        <f>IFERROR(__xludf.DUMMYFUNCTION("XLOOKUP(B210,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""-"")"),"PRASANTH E")</f>
        <v>PRASANTH E</v>
      </c>
      <c r="D210" s="17" t="str">
        <f>IFERROR(__xludf.DUMMYFUNCTION("XLOOKUP(B210,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10" s="33" t="s">
        <v>139</v>
      </c>
      <c r="F210" s="14">
        <v>4.0</v>
      </c>
      <c r="G210" s="14" t="s">
        <v>252</v>
      </c>
      <c r="H210" s="14"/>
      <c r="I210" s="14" t="s">
        <v>432</v>
      </c>
      <c r="J210" s="14" t="s">
        <v>63</v>
      </c>
      <c r="K210" s="17" t="str">
        <f>IFERROR(__xludf.DUMMYFUNCTION("XLOOKUP(B210,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""-"")"),"prasanth.cs23@bitsathy.ac.in")</f>
        <v>prasanth.cs23@bitsathy.ac.in</v>
      </c>
      <c r="L210" s="21" t="str">
        <f>IFERROR(__xludf.DUMMYFUNCTION("XLOOKUP(B210,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""-"")"),"9080951923")</f>
        <v>9080951923</v>
      </c>
      <c r="M210" s="14" t="s">
        <v>71</v>
      </c>
      <c r="N210" s="14" t="s">
        <v>433</v>
      </c>
      <c r="O210" s="34"/>
      <c r="P210" s="34"/>
      <c r="Q210" s="34"/>
      <c r="R210" s="34"/>
      <c r="S210" s="34"/>
      <c r="T210" s="34"/>
      <c r="U210" s="34"/>
      <c r="V210" s="34"/>
      <c r="W210" s="34"/>
      <c r="X210" s="35" t="s">
        <v>492</v>
      </c>
      <c r="Y210" s="34"/>
      <c r="Z210" s="22"/>
      <c r="AA210" s="22"/>
      <c r="AB210" s="22"/>
      <c r="AC210" s="22"/>
      <c r="AD210" s="22"/>
    </row>
    <row r="211">
      <c r="A211" s="21">
        <v>210.0</v>
      </c>
      <c r="B211" s="50" t="s">
        <v>493</v>
      </c>
      <c r="C211" s="16" t="str">
        <f>IFERROR(__xludf.DUMMYFUNCTION("XLOOKUP(B211,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""-"")"),"ARJUN S")</f>
        <v>ARJUN S</v>
      </c>
      <c r="D211" s="17" t="str">
        <f>IFERROR(__xludf.DUMMYFUNCTION("XLOOKUP(B211,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11" s="33" t="s">
        <v>139</v>
      </c>
      <c r="F211" s="14">
        <v>4.0</v>
      </c>
      <c r="G211" s="14" t="s">
        <v>252</v>
      </c>
      <c r="H211" s="14"/>
      <c r="I211" s="14" t="s">
        <v>432</v>
      </c>
      <c r="J211" s="14" t="s">
        <v>63</v>
      </c>
      <c r="K211" s="17" t="str">
        <f>IFERROR(__xludf.DUMMYFUNCTION("XLOOKUP(B211,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""-"")"),"arjuns.cs23@bitsathy.ac.in")</f>
        <v>arjuns.cs23@bitsathy.ac.in</v>
      </c>
      <c r="L211" s="21" t="str">
        <f>IFERROR(__xludf.DUMMYFUNCTION("XLOOKUP(B211,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""-"")"),"6374863524")</f>
        <v>6374863524</v>
      </c>
      <c r="M211" s="14" t="s">
        <v>71</v>
      </c>
      <c r="N211" s="14" t="s">
        <v>433</v>
      </c>
      <c r="O211" s="34"/>
      <c r="P211" s="34"/>
      <c r="Q211" s="34"/>
      <c r="R211" s="34"/>
      <c r="S211" s="34"/>
      <c r="T211" s="34"/>
      <c r="U211" s="34"/>
      <c r="V211" s="34"/>
      <c r="W211" s="34"/>
      <c r="X211" s="35" t="s">
        <v>494</v>
      </c>
      <c r="Y211" s="34"/>
      <c r="Z211" s="22"/>
      <c r="AA211" s="22"/>
      <c r="AB211" s="22"/>
      <c r="AC211" s="22"/>
      <c r="AD211" s="22"/>
    </row>
    <row r="212">
      <c r="A212" s="21">
        <v>211.0</v>
      </c>
      <c r="B212" s="50" t="s">
        <v>495</v>
      </c>
      <c r="C212" s="16" t="str">
        <f>IFERROR(__xludf.DUMMYFUNCTION("XLOOKUP(B212,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""-"")"),"DARSHANA S")</f>
        <v>DARSHANA S</v>
      </c>
      <c r="D212" s="17" t="str">
        <f>IFERROR(__xludf.DUMMYFUNCTION("XLOOKUP(B212,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12" s="33" t="s">
        <v>139</v>
      </c>
      <c r="F212" s="14">
        <v>4.0</v>
      </c>
      <c r="G212" s="14" t="s">
        <v>252</v>
      </c>
      <c r="H212" s="14"/>
      <c r="I212" s="14" t="s">
        <v>432</v>
      </c>
      <c r="J212" s="14" t="s">
        <v>63</v>
      </c>
      <c r="K212" s="17" t="str">
        <f>IFERROR(__xludf.DUMMYFUNCTION("XLOOKUP(B212,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""-"")"),"darshana.ad23@bitsathy.ac.in")</f>
        <v>darshana.ad23@bitsathy.ac.in</v>
      </c>
      <c r="L212" s="21" t="str">
        <f>IFERROR(__xludf.DUMMYFUNCTION("XLOOKUP(B212,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""-"")"),"9363025456")</f>
        <v>9363025456</v>
      </c>
      <c r="M212" s="14" t="s">
        <v>71</v>
      </c>
      <c r="N212" s="14" t="s">
        <v>433</v>
      </c>
      <c r="O212" s="34"/>
      <c r="P212" s="34"/>
      <c r="Q212" s="34"/>
      <c r="R212" s="34"/>
      <c r="S212" s="34"/>
      <c r="T212" s="34"/>
      <c r="U212" s="34"/>
      <c r="V212" s="34"/>
      <c r="W212" s="34"/>
      <c r="X212" s="35" t="s">
        <v>496</v>
      </c>
      <c r="Y212" s="34"/>
      <c r="Z212" s="22"/>
      <c r="AA212" s="22"/>
      <c r="AB212" s="22"/>
      <c r="AC212" s="22"/>
      <c r="AD212" s="22"/>
    </row>
    <row r="213">
      <c r="A213" s="21">
        <v>212.0</v>
      </c>
      <c r="B213" s="50" t="s">
        <v>497</v>
      </c>
      <c r="C213" s="16" t="str">
        <f>IFERROR(__xludf.DUMMYFUNCTION("XLOOKUP(B213,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""-"")"),"HARIPRIYA S")</f>
        <v>HARIPRIYA S</v>
      </c>
      <c r="D213" s="17" t="str">
        <f>IFERROR(__xludf.DUMMYFUNCTION("XLOOKUP(B213,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13" s="33" t="s">
        <v>139</v>
      </c>
      <c r="F213" s="14">
        <v>4.0</v>
      </c>
      <c r="G213" s="14" t="s">
        <v>252</v>
      </c>
      <c r="H213" s="14"/>
      <c r="I213" s="14" t="s">
        <v>432</v>
      </c>
      <c r="J213" s="14" t="s">
        <v>63</v>
      </c>
      <c r="K213" s="17" t="str">
        <f>IFERROR(__xludf.DUMMYFUNCTION("XLOOKUP(B213,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""-"")"),"haripriya.cs23@bitsathy.ac.in")</f>
        <v>haripriya.cs23@bitsathy.ac.in</v>
      </c>
      <c r="L213" s="21" t="str">
        <f>IFERROR(__xludf.DUMMYFUNCTION("XLOOKUP(B213,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""-"")"),"6374472600")</f>
        <v>6374472600</v>
      </c>
      <c r="M213" s="14" t="s">
        <v>71</v>
      </c>
      <c r="N213" s="14" t="s">
        <v>433</v>
      </c>
      <c r="O213" s="34"/>
      <c r="P213" s="34"/>
      <c r="Q213" s="34"/>
      <c r="R213" s="34"/>
      <c r="S213" s="34"/>
      <c r="T213" s="34"/>
      <c r="U213" s="34"/>
      <c r="V213" s="34"/>
      <c r="W213" s="34"/>
      <c r="X213" s="35" t="s">
        <v>498</v>
      </c>
      <c r="Y213" s="34"/>
      <c r="Z213" s="22"/>
      <c r="AA213" s="22"/>
      <c r="AB213" s="22"/>
      <c r="AC213" s="22"/>
      <c r="AD213" s="22"/>
    </row>
    <row r="214">
      <c r="A214" s="21">
        <v>213.0</v>
      </c>
      <c r="B214" s="50" t="s">
        <v>499</v>
      </c>
      <c r="C214" s="16" t="str">
        <f>IFERROR(__xludf.DUMMYFUNCTION("XLOOKUP(B214,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""-"")"),"MRIDUL VERMA R")</f>
        <v>MRIDUL VERMA R</v>
      </c>
      <c r="D214" s="17" t="str">
        <f>IFERROR(__xludf.DUMMYFUNCTION("XLOOKUP(B214,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14" s="33" t="s">
        <v>139</v>
      </c>
      <c r="F214" s="14">
        <v>4.0</v>
      </c>
      <c r="G214" s="14" t="s">
        <v>252</v>
      </c>
      <c r="H214" s="14"/>
      <c r="I214" s="14" t="s">
        <v>432</v>
      </c>
      <c r="J214" s="14" t="s">
        <v>63</v>
      </c>
      <c r="K214" s="17" t="str">
        <f>IFERROR(__xludf.DUMMYFUNCTION("XLOOKUP(B214,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""-"")"),"mridulverma.cs23@bitsathy.ac.in")</f>
        <v>mridulverma.cs23@bitsathy.ac.in</v>
      </c>
      <c r="L214" s="21" t="str">
        <f>IFERROR(__xludf.DUMMYFUNCTION("XLOOKUP(B214,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""-"")"),"8667415174")</f>
        <v>8667415174</v>
      </c>
      <c r="M214" s="14" t="s">
        <v>71</v>
      </c>
      <c r="N214" s="14" t="s">
        <v>433</v>
      </c>
      <c r="O214" s="34"/>
      <c r="P214" s="34"/>
      <c r="Q214" s="34"/>
      <c r="R214" s="34"/>
      <c r="S214" s="34"/>
      <c r="T214" s="34"/>
      <c r="U214" s="34"/>
      <c r="V214" s="34"/>
      <c r="W214" s="34"/>
      <c r="X214" s="35" t="s">
        <v>500</v>
      </c>
      <c r="Y214" s="34"/>
      <c r="Z214" s="22"/>
      <c r="AA214" s="22"/>
      <c r="AB214" s="22"/>
      <c r="AC214" s="22"/>
      <c r="AD214" s="22"/>
    </row>
    <row r="215">
      <c r="A215" s="21">
        <v>214.0</v>
      </c>
      <c r="B215" s="50" t="s">
        <v>501</v>
      </c>
      <c r="C215" s="16" t="str">
        <f>IFERROR(__xludf.DUMMYFUNCTION("XLOOKUP(B215,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""-"")"),"KAMALI R")</f>
        <v>KAMALI R</v>
      </c>
      <c r="D215" s="17" t="str">
        <f>IFERROR(__xludf.DUMMYFUNCTION("XLOOKUP(B215,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15" s="33" t="s">
        <v>139</v>
      </c>
      <c r="F215" s="14">
        <v>4.0</v>
      </c>
      <c r="G215" s="14" t="s">
        <v>252</v>
      </c>
      <c r="H215" s="14"/>
      <c r="I215" s="14" t="s">
        <v>432</v>
      </c>
      <c r="J215" s="14" t="s">
        <v>63</v>
      </c>
      <c r="K215" s="17" t="str">
        <f>IFERROR(__xludf.DUMMYFUNCTION("XLOOKUP(B215,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""-"")"),"kamali.it23@bitsathy.ac.in")</f>
        <v>kamali.it23@bitsathy.ac.in</v>
      </c>
      <c r="L215" s="21" t="str">
        <f>IFERROR(__xludf.DUMMYFUNCTION("XLOOKUP(B215,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""-"")"),"9150642334")</f>
        <v>9150642334</v>
      </c>
      <c r="M215" s="14" t="s">
        <v>71</v>
      </c>
      <c r="N215" s="14" t="s">
        <v>433</v>
      </c>
      <c r="O215" s="34"/>
      <c r="P215" s="34"/>
      <c r="Q215" s="34"/>
      <c r="R215" s="34"/>
      <c r="S215" s="34"/>
      <c r="T215" s="34"/>
      <c r="U215" s="34"/>
      <c r="V215" s="34"/>
      <c r="W215" s="34"/>
      <c r="X215" s="35" t="s">
        <v>502</v>
      </c>
      <c r="Y215" s="34"/>
      <c r="Z215" s="22"/>
      <c r="AA215" s="22"/>
      <c r="AB215" s="22"/>
      <c r="AC215" s="22"/>
      <c r="AD215" s="22"/>
    </row>
    <row r="216">
      <c r="A216" s="21">
        <v>215.0</v>
      </c>
      <c r="B216" s="50" t="s">
        <v>503</v>
      </c>
      <c r="C216" s="16" t="str">
        <f>IFERROR(__xludf.DUMMYFUNCTION("XLOOKUP(B216,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""-"")"),"PRATHEEP S")</f>
        <v>PRATHEEP S</v>
      </c>
      <c r="D216" s="17" t="str">
        <f>IFERROR(__xludf.DUMMYFUNCTION("XLOOKUP(B216,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16" s="33" t="s">
        <v>139</v>
      </c>
      <c r="F216" s="14">
        <v>4.0</v>
      </c>
      <c r="G216" s="14" t="s">
        <v>252</v>
      </c>
      <c r="H216" s="14"/>
      <c r="I216" s="14" t="s">
        <v>432</v>
      </c>
      <c r="J216" s="14" t="s">
        <v>63</v>
      </c>
      <c r="K216" s="17" t="str">
        <f>IFERROR(__xludf.DUMMYFUNCTION("XLOOKUP(B216,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""-"")"),"pratheep.ad23@bitsathy.ac.in")</f>
        <v>pratheep.ad23@bitsathy.ac.in</v>
      </c>
      <c r="L216" s="21" t="str">
        <f>IFERROR(__xludf.DUMMYFUNCTION("XLOOKUP(B216,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""-"")"),"9655067669")</f>
        <v>9655067669</v>
      </c>
      <c r="M216" s="14" t="s">
        <v>71</v>
      </c>
      <c r="N216" s="14" t="s">
        <v>433</v>
      </c>
      <c r="O216" s="34"/>
      <c r="P216" s="34"/>
      <c r="Q216" s="34"/>
      <c r="R216" s="34"/>
      <c r="S216" s="34"/>
      <c r="T216" s="34"/>
      <c r="U216" s="34"/>
      <c r="V216" s="34"/>
      <c r="W216" s="34"/>
      <c r="X216" s="35" t="s">
        <v>504</v>
      </c>
      <c r="Y216" s="34"/>
      <c r="Z216" s="22"/>
      <c r="AA216" s="22"/>
      <c r="AB216" s="22"/>
      <c r="AC216" s="22"/>
      <c r="AD216" s="22"/>
    </row>
    <row r="217">
      <c r="A217" s="21">
        <v>216.0</v>
      </c>
      <c r="B217" s="50" t="s">
        <v>505</v>
      </c>
      <c r="C217" s="16" t="str">
        <f>IFERROR(__xludf.DUMMYFUNCTION("XLOOKUP(B217,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""-"")"),"KISHORE M")</f>
        <v>KISHORE M</v>
      </c>
      <c r="D217" s="17" t="str">
        <f>IFERROR(__xludf.DUMMYFUNCTION("XLOOKUP(B217,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17" s="33" t="s">
        <v>139</v>
      </c>
      <c r="F217" s="14">
        <v>4.0</v>
      </c>
      <c r="G217" s="14" t="s">
        <v>252</v>
      </c>
      <c r="H217" s="14"/>
      <c r="I217" s="14" t="s">
        <v>432</v>
      </c>
      <c r="J217" s="14" t="s">
        <v>63</v>
      </c>
      <c r="K217" s="17" t="str">
        <f>IFERROR(__xludf.DUMMYFUNCTION("XLOOKUP(B217,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""-"")"),"kishore.ad23@bitsathy.ac.in")</f>
        <v>kishore.ad23@bitsathy.ac.in</v>
      </c>
      <c r="L217" s="21" t="str">
        <f>IFERROR(__xludf.DUMMYFUNCTION("XLOOKUP(B217,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""-"")"),"8122815787")</f>
        <v>8122815787</v>
      </c>
      <c r="M217" s="14" t="s">
        <v>71</v>
      </c>
      <c r="N217" s="14" t="s">
        <v>433</v>
      </c>
      <c r="O217" s="34"/>
      <c r="P217" s="34"/>
      <c r="Q217" s="34"/>
      <c r="R217" s="34"/>
      <c r="S217" s="34"/>
      <c r="T217" s="34"/>
      <c r="U217" s="34"/>
      <c r="V217" s="34"/>
      <c r="W217" s="34"/>
      <c r="X217" s="35" t="s">
        <v>506</v>
      </c>
      <c r="Y217" s="34"/>
      <c r="Z217" s="22"/>
      <c r="AA217" s="22"/>
      <c r="AB217" s="22"/>
      <c r="AC217" s="22"/>
      <c r="AD217" s="22"/>
    </row>
    <row r="218">
      <c r="A218" s="21">
        <v>217.0</v>
      </c>
      <c r="B218" s="50" t="s">
        <v>507</v>
      </c>
      <c r="C218" s="16" t="str">
        <f>IFERROR(__xludf.DUMMYFUNCTION("XLOOKUP(B218,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""-"")"),"KIRUTHIKA B")</f>
        <v>KIRUTHIKA B</v>
      </c>
      <c r="D218" s="17" t="str">
        <f>IFERROR(__xludf.DUMMYFUNCTION("XLOOKUP(B218,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18" s="33" t="s">
        <v>139</v>
      </c>
      <c r="F218" s="14">
        <v>4.0</v>
      </c>
      <c r="G218" s="14" t="s">
        <v>252</v>
      </c>
      <c r="H218" s="14"/>
      <c r="I218" s="14" t="s">
        <v>432</v>
      </c>
      <c r="J218" s="14" t="s">
        <v>63</v>
      </c>
      <c r="K218" s="17" t="str">
        <f>IFERROR(__xludf.DUMMYFUNCTION("XLOOKUP(B218,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""-"")"),"kiruthikab.se23@bitsathy.ac.in")</f>
        <v>kiruthikab.se23@bitsathy.ac.in</v>
      </c>
      <c r="L218" s="21" t="str">
        <f>IFERROR(__xludf.DUMMYFUNCTION("XLOOKUP(B218,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""-"")"),"8220584822")</f>
        <v>8220584822</v>
      </c>
      <c r="M218" s="14" t="s">
        <v>71</v>
      </c>
      <c r="N218" s="14" t="s">
        <v>433</v>
      </c>
      <c r="O218" s="34"/>
      <c r="P218" s="34"/>
      <c r="Q218" s="34"/>
      <c r="R218" s="34"/>
      <c r="S218" s="34"/>
      <c r="T218" s="34"/>
      <c r="U218" s="34"/>
      <c r="V218" s="34"/>
      <c r="W218" s="34"/>
      <c r="X218" s="35" t="s">
        <v>508</v>
      </c>
      <c r="Y218" s="34"/>
      <c r="Z218" s="22"/>
      <c r="AA218" s="22"/>
      <c r="AB218" s="22"/>
      <c r="AC218" s="22"/>
      <c r="AD218" s="22"/>
    </row>
    <row r="219">
      <c r="A219" s="21">
        <v>218.0</v>
      </c>
      <c r="B219" s="50" t="s">
        <v>509</v>
      </c>
      <c r="C219" s="16" t="str">
        <f>IFERROR(__xludf.DUMMYFUNCTION("XLOOKUP(B219,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""-"")"),"PRADEEP S")</f>
        <v>PRADEEP S</v>
      </c>
      <c r="D219" s="17" t="str">
        <f>IFERROR(__xludf.DUMMYFUNCTION("XLOOKUP(B219,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19" s="33" t="s">
        <v>139</v>
      </c>
      <c r="F219" s="14">
        <v>4.0</v>
      </c>
      <c r="G219" s="14" t="s">
        <v>252</v>
      </c>
      <c r="H219" s="14"/>
      <c r="I219" s="14" t="s">
        <v>432</v>
      </c>
      <c r="J219" s="14" t="s">
        <v>63</v>
      </c>
      <c r="K219" s="17" t="str">
        <f>IFERROR(__xludf.DUMMYFUNCTION("XLOOKUP(B219,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""-"")"),"pradeeps.ad23@bitsathy.ac.in")</f>
        <v>pradeeps.ad23@bitsathy.ac.in</v>
      </c>
      <c r="L219" s="21" t="str">
        <f>IFERROR(__xludf.DUMMYFUNCTION("XLOOKUP(B219,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""-"")"),"9443249161")</f>
        <v>9443249161</v>
      </c>
      <c r="M219" s="14" t="s">
        <v>71</v>
      </c>
      <c r="N219" s="14" t="s">
        <v>433</v>
      </c>
      <c r="O219" s="34"/>
      <c r="P219" s="34"/>
      <c r="Q219" s="34"/>
      <c r="R219" s="34"/>
      <c r="S219" s="34"/>
      <c r="T219" s="34"/>
      <c r="U219" s="34"/>
      <c r="V219" s="34"/>
      <c r="W219" s="34"/>
      <c r="X219" s="35" t="s">
        <v>510</v>
      </c>
      <c r="Y219" s="34"/>
      <c r="Z219" s="22"/>
      <c r="AA219" s="22"/>
      <c r="AB219" s="22"/>
      <c r="AC219" s="22"/>
      <c r="AD219" s="22"/>
    </row>
    <row r="220">
      <c r="A220" s="21">
        <v>219.0</v>
      </c>
      <c r="B220" s="50" t="s">
        <v>511</v>
      </c>
      <c r="C220" s="16" t="str">
        <f>IFERROR(__xludf.DUMMYFUNCTION("XLOOKUP(B220,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""-"")"),"PRAVEENYA B")</f>
        <v>PRAVEENYA B</v>
      </c>
      <c r="D220" s="17" t="str">
        <f>IFERROR(__xludf.DUMMYFUNCTION("XLOOKUP(B220,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0" s="33" t="s">
        <v>139</v>
      </c>
      <c r="F220" s="14">
        <v>4.0</v>
      </c>
      <c r="G220" s="14" t="s">
        <v>252</v>
      </c>
      <c r="H220" s="14"/>
      <c r="I220" s="14" t="s">
        <v>432</v>
      </c>
      <c r="J220" s="14" t="s">
        <v>63</v>
      </c>
      <c r="K220" s="17" t="str">
        <f>IFERROR(__xludf.DUMMYFUNCTION("XLOOKUP(B220,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""-"")"),"praveenya.cs23@bitsathy.ac.in")</f>
        <v>praveenya.cs23@bitsathy.ac.in</v>
      </c>
      <c r="L220" s="21" t="str">
        <f>IFERROR(__xludf.DUMMYFUNCTION("XLOOKUP(B220,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""-"")"),"9042442619")</f>
        <v>9042442619</v>
      </c>
      <c r="M220" s="14" t="s">
        <v>71</v>
      </c>
      <c r="N220" s="14" t="s">
        <v>433</v>
      </c>
      <c r="O220" s="34"/>
      <c r="P220" s="34"/>
      <c r="Q220" s="34"/>
      <c r="R220" s="34"/>
      <c r="S220" s="34"/>
      <c r="T220" s="34"/>
      <c r="U220" s="34"/>
      <c r="V220" s="34"/>
      <c r="W220" s="34"/>
      <c r="X220" s="35" t="s">
        <v>512</v>
      </c>
      <c r="Y220" s="34"/>
      <c r="Z220" s="22"/>
      <c r="AA220" s="22"/>
      <c r="AB220" s="22"/>
      <c r="AC220" s="22"/>
      <c r="AD220" s="22"/>
    </row>
    <row r="221">
      <c r="A221" s="21">
        <v>220.0</v>
      </c>
      <c r="B221" s="50" t="s">
        <v>513</v>
      </c>
      <c r="C221" s="16" t="str">
        <f>IFERROR(__xludf.DUMMYFUNCTION("XLOOKUP(B221,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""-"")"),"SHANJIKA T")</f>
        <v>SHANJIKA T</v>
      </c>
      <c r="D221" s="17" t="str">
        <f>IFERROR(__xludf.DUMMYFUNCTION("XLOOKUP(B221,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21" s="33" t="s">
        <v>139</v>
      </c>
      <c r="F221" s="14">
        <v>4.0</v>
      </c>
      <c r="G221" s="14" t="s">
        <v>252</v>
      </c>
      <c r="H221" s="14"/>
      <c r="I221" s="14" t="s">
        <v>432</v>
      </c>
      <c r="J221" s="14" t="s">
        <v>63</v>
      </c>
      <c r="K221" s="17" t="str">
        <f>IFERROR(__xludf.DUMMYFUNCTION("XLOOKUP(B221,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""-"")"),"shanjika.se23@bitsathy.ac.in")</f>
        <v>shanjika.se23@bitsathy.ac.in</v>
      </c>
      <c r="L221" s="21" t="str">
        <f>IFERROR(__xludf.DUMMYFUNCTION("XLOOKUP(B221,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""-"")"),"9843471155")</f>
        <v>9843471155</v>
      </c>
      <c r="M221" s="14" t="s">
        <v>71</v>
      </c>
      <c r="N221" s="14" t="s">
        <v>433</v>
      </c>
      <c r="O221" s="34"/>
      <c r="P221" s="34"/>
      <c r="Q221" s="34"/>
      <c r="R221" s="34"/>
      <c r="S221" s="34"/>
      <c r="T221" s="34"/>
      <c r="U221" s="34"/>
      <c r="V221" s="34"/>
      <c r="W221" s="34"/>
      <c r="X221" s="35" t="s">
        <v>514</v>
      </c>
      <c r="Y221" s="34"/>
      <c r="Z221" s="22"/>
      <c r="AA221" s="22"/>
      <c r="AB221" s="22"/>
      <c r="AC221" s="22"/>
      <c r="AD221" s="22"/>
    </row>
    <row r="222">
      <c r="A222" s="21">
        <v>221.0</v>
      </c>
      <c r="B222" s="50" t="s">
        <v>515</v>
      </c>
      <c r="C222" s="16" t="str">
        <f>IFERROR(__xludf.DUMMYFUNCTION("XLOOKUP(B222,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""-"")"),"JEYA DHARANI K")</f>
        <v>JEYA DHARANI K</v>
      </c>
      <c r="D222" s="17" t="str">
        <f>IFERROR(__xludf.DUMMYFUNCTION("XLOOKUP(B222,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2" s="33" t="s">
        <v>139</v>
      </c>
      <c r="F222" s="14">
        <v>4.0</v>
      </c>
      <c r="G222" s="14" t="s">
        <v>252</v>
      </c>
      <c r="H222" s="14"/>
      <c r="I222" s="14" t="s">
        <v>432</v>
      </c>
      <c r="J222" s="14" t="s">
        <v>63</v>
      </c>
      <c r="K222" s="17" t="str">
        <f>IFERROR(__xludf.DUMMYFUNCTION("XLOOKUP(B222,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""-"")"),"jeyadharani.cs23@bitsathy.ac.in")</f>
        <v>jeyadharani.cs23@bitsathy.ac.in</v>
      </c>
      <c r="L222" s="21" t="str">
        <f>IFERROR(__xludf.DUMMYFUNCTION("XLOOKUP(B222,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""-"")"),"6381805630")</f>
        <v>6381805630</v>
      </c>
      <c r="M222" s="14" t="s">
        <v>71</v>
      </c>
      <c r="N222" s="14" t="s">
        <v>433</v>
      </c>
      <c r="O222" s="34"/>
      <c r="P222" s="34"/>
      <c r="Q222" s="34"/>
      <c r="R222" s="34"/>
      <c r="S222" s="34"/>
      <c r="T222" s="34"/>
      <c r="U222" s="34"/>
      <c r="V222" s="34"/>
      <c r="W222" s="34"/>
      <c r="X222" s="35" t="s">
        <v>516</v>
      </c>
      <c r="Y222" s="34"/>
      <c r="Z222" s="22"/>
      <c r="AA222" s="22"/>
      <c r="AB222" s="22"/>
      <c r="AC222" s="22"/>
      <c r="AD222" s="22"/>
    </row>
    <row r="223">
      <c r="A223" s="21">
        <v>222.0</v>
      </c>
      <c r="B223" s="50" t="s">
        <v>517</v>
      </c>
      <c r="C223" s="16" t="str">
        <f>IFERROR(__xludf.DUMMYFUNCTION("XLOOKUP(B223,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""-"")"),"SOBIKA S M")</f>
        <v>SOBIKA S M</v>
      </c>
      <c r="D223" s="17" t="str">
        <f>IFERROR(__xludf.DUMMYFUNCTION("XLOOKUP(B223,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3" s="33" t="s">
        <v>139</v>
      </c>
      <c r="F223" s="14">
        <v>4.0</v>
      </c>
      <c r="G223" s="14" t="s">
        <v>252</v>
      </c>
      <c r="H223" s="14"/>
      <c r="I223" s="14" t="s">
        <v>432</v>
      </c>
      <c r="J223" s="14" t="s">
        <v>63</v>
      </c>
      <c r="K223" s="17" t="str">
        <f>IFERROR(__xludf.DUMMYFUNCTION("XLOOKUP(B223,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""-"")"),"sobika.cs23@bitsathy.ac.in")</f>
        <v>sobika.cs23@bitsathy.ac.in</v>
      </c>
      <c r="L223" s="21" t="str">
        <f>IFERROR(__xludf.DUMMYFUNCTION("XLOOKUP(B223,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""-"")"),"9751515795")</f>
        <v>9751515795</v>
      </c>
      <c r="M223" s="14" t="s">
        <v>71</v>
      </c>
      <c r="N223" s="14" t="s">
        <v>433</v>
      </c>
      <c r="O223" s="34"/>
      <c r="P223" s="34"/>
      <c r="Q223" s="34"/>
      <c r="R223" s="34"/>
      <c r="S223" s="34"/>
      <c r="T223" s="34"/>
      <c r="U223" s="34"/>
      <c r="V223" s="34"/>
      <c r="W223" s="34"/>
      <c r="X223" s="35" t="s">
        <v>518</v>
      </c>
      <c r="Y223" s="34"/>
      <c r="Z223" s="22"/>
      <c r="AA223" s="22"/>
      <c r="AB223" s="22"/>
      <c r="AC223" s="22"/>
      <c r="AD223" s="22"/>
    </row>
    <row r="224">
      <c r="A224" s="21">
        <v>223.0</v>
      </c>
      <c r="B224" s="50" t="s">
        <v>519</v>
      </c>
      <c r="C224" s="16" t="str">
        <f>IFERROR(__xludf.DUMMYFUNCTION("XLOOKUP(B224,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""-"")"),"SWEATHA M P")</f>
        <v>SWEATHA M P</v>
      </c>
      <c r="D224" s="17" t="str">
        <f>IFERROR(__xludf.DUMMYFUNCTION("XLOOKUP(B224,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24" s="33" t="s">
        <v>139</v>
      </c>
      <c r="F224" s="14">
        <v>4.0</v>
      </c>
      <c r="G224" s="14" t="s">
        <v>252</v>
      </c>
      <c r="H224" s="14"/>
      <c r="I224" s="14" t="s">
        <v>432</v>
      </c>
      <c r="J224" s="14" t="s">
        <v>63</v>
      </c>
      <c r="K224" s="17" t="str">
        <f>IFERROR(__xludf.DUMMYFUNCTION("XLOOKUP(B224,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""-"")"),"sweatha.cd23@bitsathy.ac.in")</f>
        <v>sweatha.cd23@bitsathy.ac.in</v>
      </c>
      <c r="L224" s="21" t="str">
        <f>IFERROR(__xludf.DUMMYFUNCTION("XLOOKUP(B224,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""-"")"),"9042491995")</f>
        <v>9042491995</v>
      </c>
      <c r="M224" s="14" t="s">
        <v>71</v>
      </c>
      <c r="N224" s="14" t="s">
        <v>433</v>
      </c>
      <c r="O224" s="34"/>
      <c r="P224" s="34"/>
      <c r="Q224" s="34"/>
      <c r="R224" s="34"/>
      <c r="S224" s="34"/>
      <c r="T224" s="34"/>
      <c r="U224" s="34"/>
      <c r="V224" s="34"/>
      <c r="W224" s="34"/>
      <c r="X224" s="35" t="s">
        <v>520</v>
      </c>
      <c r="Y224" s="34"/>
      <c r="Z224" s="22"/>
      <c r="AA224" s="22"/>
      <c r="AB224" s="22"/>
      <c r="AC224" s="22"/>
      <c r="AD224" s="22"/>
    </row>
    <row r="225">
      <c r="A225" s="21">
        <v>224.0</v>
      </c>
      <c r="B225" s="50" t="s">
        <v>521</v>
      </c>
      <c r="C225" s="16" t="str">
        <f>IFERROR(__xludf.DUMMYFUNCTION("XLOOKUP(B225,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""-"")"),"MONIGASRI M")</f>
        <v>MONIGASRI M</v>
      </c>
      <c r="D225" s="17" t="str">
        <f>IFERROR(__xludf.DUMMYFUNCTION("XLOOKUP(B225,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5" s="33" t="s">
        <v>139</v>
      </c>
      <c r="F225" s="14">
        <v>4.0</v>
      </c>
      <c r="G225" s="14" t="s">
        <v>252</v>
      </c>
      <c r="H225" s="14"/>
      <c r="I225" s="14" t="s">
        <v>432</v>
      </c>
      <c r="J225" s="14" t="s">
        <v>63</v>
      </c>
      <c r="K225" s="17" t="str">
        <f>IFERROR(__xludf.DUMMYFUNCTION("XLOOKUP(B225,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""-"")"),"monigasri.cs23@bitsathy.ac.in")</f>
        <v>monigasri.cs23@bitsathy.ac.in</v>
      </c>
      <c r="L225" s="21" t="str">
        <f>IFERROR(__xludf.DUMMYFUNCTION("XLOOKUP(B225,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""-"")"),"7904634576")</f>
        <v>7904634576</v>
      </c>
      <c r="M225" s="14" t="s">
        <v>71</v>
      </c>
      <c r="N225" s="14" t="s">
        <v>433</v>
      </c>
      <c r="O225" s="34"/>
      <c r="P225" s="34"/>
      <c r="Q225" s="34"/>
      <c r="R225" s="34"/>
      <c r="S225" s="34"/>
      <c r="T225" s="34"/>
      <c r="U225" s="34"/>
      <c r="V225" s="34"/>
      <c r="W225" s="34"/>
      <c r="X225" s="35" t="s">
        <v>522</v>
      </c>
      <c r="Y225" s="34"/>
      <c r="Z225" s="22"/>
      <c r="AA225" s="22"/>
      <c r="AB225" s="22"/>
      <c r="AC225" s="22"/>
      <c r="AD225" s="22"/>
    </row>
    <row r="226">
      <c r="A226" s="21">
        <v>225.0</v>
      </c>
      <c r="B226" s="50" t="s">
        <v>523</v>
      </c>
      <c r="C226" s="16" t="str">
        <f>IFERROR(__xludf.DUMMYFUNCTION("XLOOKUP(B226,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""-"")"),"DHANUSRI M")</f>
        <v>DHANUSRI M</v>
      </c>
      <c r="D226" s="17" t="str">
        <f>IFERROR(__xludf.DUMMYFUNCTION("XLOOKUP(B226,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6" s="33" t="s">
        <v>139</v>
      </c>
      <c r="F226" s="14">
        <v>4.0</v>
      </c>
      <c r="G226" s="14" t="s">
        <v>252</v>
      </c>
      <c r="H226" s="14"/>
      <c r="I226" s="14" t="s">
        <v>432</v>
      </c>
      <c r="J226" s="14" t="s">
        <v>63</v>
      </c>
      <c r="K226" s="17" t="str">
        <f>IFERROR(__xludf.DUMMYFUNCTION("XLOOKUP(B226,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""-"")"),"dhanusri.cs23@bitsathy.ac.in")</f>
        <v>dhanusri.cs23@bitsathy.ac.in</v>
      </c>
      <c r="L226" s="21" t="str">
        <f>IFERROR(__xludf.DUMMYFUNCTION("XLOOKUP(B226,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""-"")"),"9342414700")</f>
        <v>9342414700</v>
      </c>
      <c r="M226" s="14" t="s">
        <v>71</v>
      </c>
      <c r="N226" s="14" t="s">
        <v>433</v>
      </c>
      <c r="O226" s="34"/>
      <c r="P226" s="34"/>
      <c r="Q226" s="34"/>
      <c r="R226" s="34"/>
      <c r="S226" s="34"/>
      <c r="T226" s="34"/>
      <c r="U226" s="34"/>
      <c r="V226" s="34"/>
      <c r="W226" s="34"/>
      <c r="X226" s="35" t="s">
        <v>524</v>
      </c>
      <c r="Y226" s="34"/>
      <c r="Z226" s="22"/>
      <c r="AA226" s="22"/>
      <c r="AB226" s="22"/>
      <c r="AC226" s="22"/>
      <c r="AD226" s="22"/>
    </row>
    <row r="227">
      <c r="A227" s="21">
        <v>226.0</v>
      </c>
      <c r="B227" s="50" t="s">
        <v>525</v>
      </c>
      <c r="C227" s="16" t="str">
        <f>IFERROR(__xludf.DUMMYFUNCTION("XLOOKUP(B227,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""-"")"),"KAVIMALAN  K")</f>
        <v>KAVIMALAN  K</v>
      </c>
      <c r="D227" s="17" t="str">
        <f>IFERROR(__xludf.DUMMYFUNCTION("XLOOKUP(B227,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27" s="33" t="s">
        <v>139</v>
      </c>
      <c r="F227" s="14">
        <v>4.0</v>
      </c>
      <c r="G227" s="14" t="s">
        <v>252</v>
      </c>
      <c r="H227" s="14"/>
      <c r="I227" s="14" t="s">
        <v>432</v>
      </c>
      <c r="J227" s="14" t="s">
        <v>63</v>
      </c>
      <c r="K227" s="17" t="str">
        <f>IFERROR(__xludf.DUMMYFUNCTION("XLOOKUP(B227,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""-"")"),"kavimalan.cs23@bitsathy.ac.in")</f>
        <v>kavimalan.cs23@bitsathy.ac.in</v>
      </c>
      <c r="L227" s="21" t="str">
        <f>IFERROR(__xludf.DUMMYFUNCTION("XLOOKUP(B227,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""-"")"),"6383003551")</f>
        <v>6383003551</v>
      </c>
      <c r="M227" s="14" t="s">
        <v>71</v>
      </c>
      <c r="N227" s="14" t="s">
        <v>433</v>
      </c>
      <c r="O227" s="34"/>
      <c r="P227" s="34"/>
      <c r="Q227" s="34"/>
      <c r="R227" s="34"/>
      <c r="S227" s="34"/>
      <c r="T227" s="34"/>
      <c r="U227" s="34"/>
      <c r="V227" s="34"/>
      <c r="W227" s="34"/>
      <c r="X227" s="35" t="s">
        <v>526</v>
      </c>
      <c r="Y227" s="34"/>
      <c r="Z227" s="22"/>
      <c r="AA227" s="22"/>
      <c r="AB227" s="22"/>
      <c r="AC227" s="22"/>
      <c r="AD227" s="22"/>
    </row>
    <row r="228">
      <c r="A228" s="21">
        <v>227.0</v>
      </c>
      <c r="B228" s="50" t="s">
        <v>527</v>
      </c>
      <c r="C228" s="16" t="str">
        <f>IFERROR(__xludf.DUMMYFUNCTION("XLOOKUP(B228,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""-"")"),"DHARSHINI S")</f>
        <v>DHARSHINI S</v>
      </c>
      <c r="D228" s="17" t="str">
        <f>IFERROR(__xludf.DUMMYFUNCTION("XLOOKUP(B228,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28" s="33" t="s">
        <v>139</v>
      </c>
      <c r="F228" s="14">
        <v>4.0</v>
      </c>
      <c r="G228" s="14" t="s">
        <v>252</v>
      </c>
      <c r="H228" s="14"/>
      <c r="I228" s="14" t="s">
        <v>432</v>
      </c>
      <c r="J228" s="14" t="s">
        <v>63</v>
      </c>
      <c r="K228" s="17" t="str">
        <f>IFERROR(__xludf.DUMMYFUNCTION("XLOOKUP(B228,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""-"")"),"dharshini.cb23@bitsathy.ac.in")</f>
        <v>dharshini.cb23@bitsathy.ac.in</v>
      </c>
      <c r="L228" s="21" t="str">
        <f>IFERROR(__xludf.DUMMYFUNCTION("XLOOKUP(B228,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""-"")"),"6382913767")</f>
        <v>6382913767</v>
      </c>
      <c r="M228" s="14" t="s">
        <v>71</v>
      </c>
      <c r="N228" s="14" t="s">
        <v>433</v>
      </c>
      <c r="O228" s="34"/>
      <c r="P228" s="34"/>
      <c r="Q228" s="34"/>
      <c r="R228" s="34"/>
      <c r="S228" s="34"/>
      <c r="T228" s="34"/>
      <c r="U228" s="34"/>
      <c r="V228" s="34"/>
      <c r="W228" s="34"/>
      <c r="X228" s="35" t="s">
        <v>528</v>
      </c>
      <c r="Y228" s="34"/>
      <c r="Z228" s="22"/>
      <c r="AA228" s="22"/>
      <c r="AB228" s="22"/>
      <c r="AC228" s="22"/>
      <c r="AD228" s="22"/>
    </row>
    <row r="229">
      <c r="A229" s="21">
        <v>228.0</v>
      </c>
      <c r="B229" s="50" t="s">
        <v>529</v>
      </c>
      <c r="C229" s="16" t="str">
        <f>IFERROR(__xludf.DUMMYFUNCTION("XLOOKUP(B229,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 L S")</f>
        <v>RITHI L S</v>
      </c>
      <c r="D229" s="17" t="str">
        <f>IFERROR(__xludf.DUMMYFUNCTION("XLOOKUP(B229,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29" s="33" t="s">
        <v>139</v>
      </c>
      <c r="F229" s="14">
        <v>4.0</v>
      </c>
      <c r="G229" s="14" t="s">
        <v>252</v>
      </c>
      <c r="H229" s="14"/>
      <c r="I229" s="14" t="s">
        <v>432</v>
      </c>
      <c r="J229" s="14" t="s">
        <v>63</v>
      </c>
      <c r="K229" s="17" t="str">
        <f>IFERROR(__xludf.DUMMYFUNCTION("XLOOKUP(B229,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""-"")"),"rithi.se23@bitsathy.ac.in")</f>
        <v>rithi.se23@bitsathy.ac.in</v>
      </c>
      <c r="L229" s="21" t="str">
        <f>IFERROR(__xludf.DUMMYFUNCTION("XLOOKUP(B229,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""-"")"),"9715889990")</f>
        <v>9715889990</v>
      </c>
      <c r="M229" s="14" t="s">
        <v>71</v>
      </c>
      <c r="N229" s="14" t="s">
        <v>433</v>
      </c>
      <c r="O229" s="34"/>
      <c r="P229" s="34"/>
      <c r="Q229" s="34"/>
      <c r="R229" s="34"/>
      <c r="S229" s="34"/>
      <c r="T229" s="34"/>
      <c r="U229" s="34"/>
      <c r="V229" s="34"/>
      <c r="W229" s="34"/>
      <c r="X229" s="35" t="s">
        <v>530</v>
      </c>
      <c r="Y229" s="34"/>
      <c r="Z229" s="22"/>
      <c r="AA229" s="22"/>
      <c r="AB229" s="22"/>
      <c r="AC229" s="22"/>
      <c r="AD229" s="22"/>
    </row>
    <row r="230">
      <c r="A230" s="21">
        <v>229.0</v>
      </c>
      <c r="B230" s="50" t="s">
        <v>531</v>
      </c>
      <c r="C230" s="16" t="str">
        <f>IFERROR(__xludf.DUMMYFUNCTION("XLOOKUP(B230,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""-"")"),"DARSHAN S")</f>
        <v>DARSHAN S</v>
      </c>
      <c r="D230" s="17" t="str">
        <f>IFERROR(__xludf.DUMMYFUNCTION("XLOOKUP(B230,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30" s="33" t="s">
        <v>139</v>
      </c>
      <c r="F230" s="14">
        <v>4.0</v>
      </c>
      <c r="G230" s="14" t="s">
        <v>252</v>
      </c>
      <c r="H230" s="14"/>
      <c r="I230" s="14" t="s">
        <v>432</v>
      </c>
      <c r="J230" s="14" t="s">
        <v>63</v>
      </c>
      <c r="K230" s="17" t="str">
        <f>IFERROR(__xludf.DUMMYFUNCTION("XLOOKUP(B230,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""-"")"),"darshan.cs23@bitsathy.ac.in")</f>
        <v>darshan.cs23@bitsathy.ac.in</v>
      </c>
      <c r="L230" s="21" t="str">
        <f>IFERROR(__xludf.DUMMYFUNCTION("XLOOKUP(B230,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""-"")"),"9159276472")</f>
        <v>9159276472</v>
      </c>
      <c r="M230" s="14" t="s">
        <v>71</v>
      </c>
      <c r="N230" s="14" t="s">
        <v>433</v>
      </c>
      <c r="O230" s="34"/>
      <c r="P230" s="34"/>
      <c r="Q230" s="34"/>
      <c r="R230" s="34"/>
      <c r="S230" s="34"/>
      <c r="T230" s="34"/>
      <c r="U230" s="34"/>
      <c r="V230" s="34"/>
      <c r="W230" s="34"/>
      <c r="X230" s="35" t="s">
        <v>532</v>
      </c>
      <c r="Y230" s="34"/>
      <c r="Z230" s="22"/>
      <c r="AA230" s="22"/>
      <c r="AB230" s="22"/>
      <c r="AC230" s="22"/>
      <c r="AD230" s="22"/>
    </row>
    <row r="231">
      <c r="A231" s="21">
        <v>230.0</v>
      </c>
      <c r="B231" s="50" t="s">
        <v>533</v>
      </c>
      <c r="C231" s="16" t="str">
        <f>IFERROR(__xludf.DUMMYFUNCTION("XLOOKUP(B231,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""-"")"),"HARINI S")</f>
        <v>HARINI S</v>
      </c>
      <c r="D231" s="17" t="str">
        <f>IFERROR(__xludf.DUMMYFUNCTION("XLOOKUP(B231,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31" s="33" t="s">
        <v>139</v>
      </c>
      <c r="F231" s="14">
        <v>4.0</v>
      </c>
      <c r="G231" s="14" t="s">
        <v>252</v>
      </c>
      <c r="H231" s="14"/>
      <c r="I231" s="14" t="s">
        <v>432</v>
      </c>
      <c r="J231" s="14" t="s">
        <v>63</v>
      </c>
      <c r="K231" s="17" t="str">
        <f>IFERROR(__xludf.DUMMYFUNCTION("XLOOKUP(B231,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""-"")"),"harinis.it23@bitsathy.ac.in")</f>
        <v>harinis.it23@bitsathy.ac.in</v>
      </c>
      <c r="L231" s="21" t="str">
        <f>IFERROR(__xludf.DUMMYFUNCTION("XLOOKUP(B231,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""-"")"),"7904090421")</f>
        <v>7904090421</v>
      </c>
      <c r="M231" s="14" t="s">
        <v>71</v>
      </c>
      <c r="N231" s="14" t="s">
        <v>433</v>
      </c>
      <c r="O231" s="34"/>
      <c r="P231" s="34"/>
      <c r="Q231" s="34"/>
      <c r="R231" s="34"/>
      <c r="S231" s="34"/>
      <c r="T231" s="34"/>
      <c r="U231" s="34"/>
      <c r="V231" s="34"/>
      <c r="W231" s="34"/>
      <c r="X231" s="35" t="s">
        <v>534</v>
      </c>
      <c r="Y231" s="34"/>
      <c r="Z231" s="22"/>
      <c r="AA231" s="22"/>
      <c r="AB231" s="22"/>
      <c r="AC231" s="22"/>
      <c r="AD231" s="22"/>
    </row>
    <row r="232">
      <c r="A232" s="21">
        <v>231.0</v>
      </c>
      <c r="B232" s="50" t="s">
        <v>535</v>
      </c>
      <c r="C232" s="16" t="str">
        <f>IFERROR(__xludf.DUMMYFUNCTION("XLOOKUP(B232,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""-"")"),"SHANJAI M R")</f>
        <v>SHANJAI M R</v>
      </c>
      <c r="D232" s="17" t="str">
        <f>IFERROR(__xludf.DUMMYFUNCTION("XLOOKUP(B232,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32" s="33" t="s">
        <v>139</v>
      </c>
      <c r="F232" s="14">
        <v>4.0</v>
      </c>
      <c r="G232" s="14" t="s">
        <v>252</v>
      </c>
      <c r="H232" s="14"/>
      <c r="I232" s="14" t="s">
        <v>432</v>
      </c>
      <c r="J232" s="14" t="s">
        <v>63</v>
      </c>
      <c r="K232" s="17" t="str">
        <f>IFERROR(__xludf.DUMMYFUNCTION("XLOOKUP(B232,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""-"")"),"shanjai.it23@bitsathy.ac.in")</f>
        <v>shanjai.it23@bitsathy.ac.in</v>
      </c>
      <c r="L232" s="21" t="str">
        <f>IFERROR(__xludf.DUMMYFUNCTION("XLOOKUP(B232,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""-"")"),"8682859436")</f>
        <v>8682859436</v>
      </c>
      <c r="M232" s="14" t="s">
        <v>71</v>
      </c>
      <c r="N232" s="14" t="s">
        <v>433</v>
      </c>
      <c r="O232" s="34"/>
      <c r="P232" s="34"/>
      <c r="Q232" s="34"/>
      <c r="R232" s="34"/>
      <c r="S232" s="34"/>
      <c r="T232" s="34"/>
      <c r="U232" s="34"/>
      <c r="V232" s="34"/>
      <c r="W232" s="34"/>
      <c r="X232" s="35" t="s">
        <v>536</v>
      </c>
      <c r="Y232" s="34"/>
      <c r="Z232" s="22"/>
      <c r="AA232" s="22"/>
      <c r="AB232" s="22"/>
      <c r="AC232" s="22"/>
      <c r="AD232" s="22"/>
    </row>
    <row r="233">
      <c r="A233" s="21">
        <v>232.0</v>
      </c>
      <c r="B233" s="50" t="s">
        <v>537</v>
      </c>
      <c r="C233" s="16" t="str">
        <f>IFERROR(__xludf.DUMMYFUNCTION("XLOOKUP(B233,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""-"")"),"NAVEENAPRIYA  J")</f>
        <v>NAVEENAPRIYA  J</v>
      </c>
      <c r="D233" s="17" t="str">
        <f>IFERROR(__xludf.DUMMYFUNCTION("XLOOKUP(B233,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33" s="33" t="s">
        <v>139</v>
      </c>
      <c r="F233" s="14">
        <v>4.0</v>
      </c>
      <c r="G233" s="14" t="s">
        <v>252</v>
      </c>
      <c r="H233" s="14"/>
      <c r="I233" s="14" t="s">
        <v>432</v>
      </c>
      <c r="J233" s="14" t="s">
        <v>63</v>
      </c>
      <c r="K233" s="17" t="str">
        <f>IFERROR(__xludf.DUMMYFUNCTION("XLOOKUP(B233,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""-"")"),"naveenapriya.al23@bitsathy.ac.in")</f>
        <v>naveenapriya.al23@bitsathy.ac.in</v>
      </c>
      <c r="L233" s="21" t="str">
        <f>IFERROR(__xludf.DUMMYFUNCTION("XLOOKUP(B233,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""-"")"),"9597851024")</f>
        <v>9597851024</v>
      </c>
      <c r="M233" s="14" t="s">
        <v>71</v>
      </c>
      <c r="N233" s="14" t="s">
        <v>433</v>
      </c>
      <c r="O233" s="34"/>
      <c r="P233" s="34"/>
      <c r="Q233" s="34"/>
      <c r="R233" s="34"/>
      <c r="S233" s="34"/>
      <c r="T233" s="34"/>
      <c r="U233" s="34"/>
      <c r="V233" s="34"/>
      <c r="W233" s="34"/>
      <c r="X233" s="35" t="s">
        <v>538</v>
      </c>
      <c r="Y233" s="34"/>
      <c r="Z233" s="22"/>
      <c r="AA233" s="22"/>
      <c r="AB233" s="22"/>
      <c r="AC233" s="22"/>
      <c r="AD233" s="22"/>
    </row>
    <row r="234">
      <c r="A234" s="21">
        <v>233.0</v>
      </c>
      <c r="B234" s="50" t="s">
        <v>539</v>
      </c>
      <c r="C234" s="16" t="str">
        <f>IFERROR(__xludf.DUMMYFUNCTION("XLOOKUP(B234,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""-"")"),"SUBIKSHA M")</f>
        <v>SUBIKSHA M</v>
      </c>
      <c r="D234" s="17" t="str">
        <f>IFERROR(__xludf.DUMMYFUNCTION("XLOOKUP(B234,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34" s="33" t="s">
        <v>139</v>
      </c>
      <c r="F234" s="14">
        <v>4.0</v>
      </c>
      <c r="G234" s="14" t="s">
        <v>252</v>
      </c>
      <c r="H234" s="14"/>
      <c r="I234" s="14" t="s">
        <v>432</v>
      </c>
      <c r="J234" s="14" t="s">
        <v>63</v>
      </c>
      <c r="K234" s="17" t="str">
        <f>IFERROR(__xludf.DUMMYFUNCTION("XLOOKUP(B234,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""-"")"),"subiksham.al23@bitsathy.ac.in")</f>
        <v>subiksham.al23@bitsathy.ac.in</v>
      </c>
      <c r="L234" s="21" t="str">
        <f>IFERROR(__xludf.DUMMYFUNCTION("XLOOKUP(B234,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""-"")"),"9345750762")</f>
        <v>9345750762</v>
      </c>
      <c r="M234" s="14" t="s">
        <v>71</v>
      </c>
      <c r="N234" s="14" t="s">
        <v>433</v>
      </c>
      <c r="O234" s="34"/>
      <c r="P234" s="34"/>
      <c r="Q234" s="34"/>
      <c r="R234" s="34"/>
      <c r="S234" s="34"/>
      <c r="T234" s="34"/>
      <c r="U234" s="34"/>
      <c r="V234" s="34"/>
      <c r="W234" s="34"/>
      <c r="X234" s="35" t="s">
        <v>540</v>
      </c>
      <c r="Y234" s="34"/>
      <c r="Z234" s="22"/>
      <c r="AA234" s="22"/>
      <c r="AB234" s="22"/>
      <c r="AC234" s="22"/>
      <c r="AD234" s="22"/>
    </row>
    <row r="235">
      <c r="A235" s="21">
        <v>234.0</v>
      </c>
      <c r="B235" s="50" t="s">
        <v>541</v>
      </c>
      <c r="C235" s="16" t="str">
        <f>IFERROR(__xludf.DUMMYFUNCTION("XLOOKUP(B235,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""-"")"),"KISHORI P")</f>
        <v>KISHORI P</v>
      </c>
      <c r="D235" s="17" t="str">
        <f>IFERROR(__xludf.DUMMYFUNCTION("XLOOKUP(B235,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35" s="33" t="s">
        <v>139</v>
      </c>
      <c r="F235" s="14">
        <v>4.0</v>
      </c>
      <c r="G235" s="14" t="s">
        <v>252</v>
      </c>
      <c r="H235" s="14"/>
      <c r="I235" s="14" t="s">
        <v>432</v>
      </c>
      <c r="J235" s="14" t="s">
        <v>63</v>
      </c>
      <c r="K235" s="17" t="str">
        <f>IFERROR(__xludf.DUMMYFUNCTION("XLOOKUP(B235,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""-"")"),"kishori.it23@bitsathy.ac.in")</f>
        <v>kishori.it23@bitsathy.ac.in</v>
      </c>
      <c r="L235" s="21" t="str">
        <f>IFERROR(__xludf.DUMMYFUNCTION("XLOOKUP(B235,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""-"")"),"9080896676")</f>
        <v>9080896676</v>
      </c>
      <c r="M235" s="14" t="s">
        <v>71</v>
      </c>
      <c r="N235" s="14" t="s">
        <v>433</v>
      </c>
      <c r="O235" s="34"/>
      <c r="P235" s="34"/>
      <c r="Q235" s="34"/>
      <c r="R235" s="34"/>
      <c r="S235" s="34"/>
      <c r="T235" s="34"/>
      <c r="U235" s="34"/>
      <c r="V235" s="34"/>
      <c r="W235" s="34"/>
      <c r="X235" s="35" t="s">
        <v>542</v>
      </c>
      <c r="Y235" s="34"/>
      <c r="Z235" s="22"/>
      <c r="AA235" s="22"/>
      <c r="AB235" s="22"/>
      <c r="AC235" s="22"/>
      <c r="AD235" s="22"/>
    </row>
    <row r="236">
      <c r="A236" s="21">
        <v>235.0</v>
      </c>
      <c r="B236" s="50" t="s">
        <v>543</v>
      </c>
      <c r="C236" s="16" t="str">
        <f>IFERROR(__xludf.DUMMYFUNCTION("XLOOKUP(B236,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""-"")"),"SONIKA N")</f>
        <v>SONIKA N</v>
      </c>
      <c r="D236" s="17" t="str">
        <f>IFERROR(__xludf.DUMMYFUNCTION("XLOOKUP(B236,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36" s="33" t="s">
        <v>139</v>
      </c>
      <c r="F236" s="14">
        <v>4.0</v>
      </c>
      <c r="G236" s="14" t="s">
        <v>252</v>
      </c>
      <c r="H236" s="14"/>
      <c r="I236" s="14" t="s">
        <v>432</v>
      </c>
      <c r="J236" s="14" t="s">
        <v>63</v>
      </c>
      <c r="K236" s="17" t="str">
        <f>IFERROR(__xludf.DUMMYFUNCTION("XLOOKUP(B236,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""-"")"),"sonika.cs23@bitsathy.ac.in")</f>
        <v>sonika.cs23@bitsathy.ac.in</v>
      </c>
      <c r="L236" s="21" t="str">
        <f>IFERROR(__xludf.DUMMYFUNCTION("XLOOKUP(B236,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""-"")"),"9360264665")</f>
        <v>9360264665</v>
      </c>
      <c r="M236" s="14" t="s">
        <v>71</v>
      </c>
      <c r="N236" s="14" t="s">
        <v>433</v>
      </c>
      <c r="O236" s="34"/>
      <c r="P236" s="34"/>
      <c r="Q236" s="34"/>
      <c r="R236" s="34"/>
      <c r="S236" s="34"/>
      <c r="T236" s="34"/>
      <c r="U236" s="34"/>
      <c r="V236" s="34"/>
      <c r="W236" s="34"/>
      <c r="X236" s="35" t="s">
        <v>544</v>
      </c>
      <c r="Y236" s="34"/>
      <c r="Z236" s="22"/>
      <c r="AA236" s="22"/>
      <c r="AB236" s="22"/>
      <c r="AC236" s="22"/>
      <c r="AD236" s="22"/>
    </row>
    <row r="237">
      <c r="A237" s="21">
        <v>236.0</v>
      </c>
      <c r="B237" s="50" t="s">
        <v>545</v>
      </c>
      <c r="C237" s="16" t="str">
        <f>IFERROR(__xludf.DUMMYFUNCTION("XLOOKUP(B237,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""-"")"),"SUJAN S")</f>
        <v>SUJAN S</v>
      </c>
      <c r="D237" s="17" t="str">
        <f>IFERROR(__xludf.DUMMYFUNCTION("XLOOKUP(B237,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37" s="33" t="s">
        <v>139</v>
      </c>
      <c r="F237" s="14">
        <v>4.0</v>
      </c>
      <c r="G237" s="14" t="s">
        <v>252</v>
      </c>
      <c r="H237" s="14"/>
      <c r="I237" s="14" t="s">
        <v>432</v>
      </c>
      <c r="J237" s="14" t="s">
        <v>63</v>
      </c>
      <c r="K237" s="17" t="str">
        <f>IFERROR(__xludf.DUMMYFUNCTION("XLOOKUP(B237,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""-"")"),"sujan.ad23@bitsathy.ac.in")</f>
        <v>sujan.ad23@bitsathy.ac.in</v>
      </c>
      <c r="L237" s="21" t="str">
        <f>IFERROR(__xludf.DUMMYFUNCTION("XLOOKUP(B237,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""-"")"),"9344860535")</f>
        <v>9344860535</v>
      </c>
      <c r="M237" s="14" t="s">
        <v>71</v>
      </c>
      <c r="N237" s="14" t="s">
        <v>433</v>
      </c>
      <c r="O237" s="34"/>
      <c r="P237" s="34"/>
      <c r="Q237" s="34"/>
      <c r="R237" s="34"/>
      <c r="S237" s="34"/>
      <c r="T237" s="34"/>
      <c r="U237" s="34"/>
      <c r="V237" s="34"/>
      <c r="W237" s="34"/>
      <c r="X237" s="35" t="s">
        <v>546</v>
      </c>
      <c r="Y237" s="34"/>
      <c r="Z237" s="22"/>
      <c r="AA237" s="22"/>
      <c r="AB237" s="22"/>
      <c r="AC237" s="22"/>
      <c r="AD237" s="22"/>
    </row>
    <row r="238">
      <c r="A238" s="21">
        <v>237.0</v>
      </c>
      <c r="B238" s="50" t="s">
        <v>547</v>
      </c>
      <c r="C238" s="16" t="str">
        <f>IFERROR(__xludf.DUMMYFUNCTION("XLOOKUP(B238,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""-"")"),"KARANEESH A")</f>
        <v>KARANEESH A</v>
      </c>
      <c r="D238" s="17" t="str">
        <f>IFERROR(__xludf.DUMMYFUNCTION("XLOOKUP(B238,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238" s="33" t="s">
        <v>139</v>
      </c>
      <c r="F238" s="14">
        <v>4.0</v>
      </c>
      <c r="G238" s="14" t="s">
        <v>252</v>
      </c>
      <c r="H238" s="14"/>
      <c r="I238" s="14" t="s">
        <v>432</v>
      </c>
      <c r="J238" s="14" t="s">
        <v>63</v>
      </c>
      <c r="K238" s="17" t="str">
        <f>IFERROR(__xludf.DUMMYFUNCTION("XLOOKUP(B238,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""-"")"),"karaneesha.ct23@bitsathy.ac.in")</f>
        <v>karaneesha.ct23@bitsathy.ac.in</v>
      </c>
      <c r="L238" s="21" t="str">
        <f>IFERROR(__xludf.DUMMYFUNCTION("XLOOKUP(B238,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""-"")"),"9942778188")</f>
        <v>9942778188</v>
      </c>
      <c r="M238" s="14" t="s">
        <v>71</v>
      </c>
      <c r="N238" s="14" t="s">
        <v>433</v>
      </c>
      <c r="O238" s="34"/>
      <c r="P238" s="34"/>
      <c r="Q238" s="34"/>
      <c r="R238" s="34"/>
      <c r="S238" s="34"/>
      <c r="T238" s="34"/>
      <c r="U238" s="34"/>
      <c r="V238" s="34"/>
      <c r="W238" s="34"/>
      <c r="X238" s="35" t="s">
        <v>548</v>
      </c>
      <c r="Y238" s="34"/>
      <c r="Z238" s="22"/>
      <c r="AA238" s="22"/>
      <c r="AB238" s="22"/>
      <c r="AC238" s="22"/>
      <c r="AD238" s="22"/>
    </row>
    <row r="239">
      <c r="A239" s="21">
        <v>238.0</v>
      </c>
      <c r="B239" s="50" t="s">
        <v>549</v>
      </c>
      <c r="C239" s="16" t="str">
        <f>IFERROR(__xludf.DUMMYFUNCTION("XLOOKUP(B239,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""-"")"),"ARGHA CHAKRABORTTY")</f>
        <v>ARGHA CHAKRABORTTY</v>
      </c>
      <c r="D239" s="17" t="str">
        <f>IFERROR(__xludf.DUMMYFUNCTION("XLOOKUP(B239,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39" s="33" t="s">
        <v>139</v>
      </c>
      <c r="F239" s="14">
        <v>4.0</v>
      </c>
      <c r="G239" s="14" t="s">
        <v>252</v>
      </c>
      <c r="H239" s="14"/>
      <c r="I239" s="14" t="s">
        <v>432</v>
      </c>
      <c r="J239" s="14" t="s">
        <v>63</v>
      </c>
      <c r="K239" s="17" t="str">
        <f>IFERROR(__xludf.DUMMYFUNCTION("XLOOKUP(B239,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""-"")"),"arghachakrabortty.se23@bitsathy.ac.in")</f>
        <v>arghachakrabortty.se23@bitsathy.ac.in</v>
      </c>
      <c r="L239" s="21" t="str">
        <f>IFERROR(__xludf.DUMMYFUNCTION("XLOOKUP(B239,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""-"")"),"9345120024")</f>
        <v>9345120024</v>
      </c>
      <c r="M239" s="14" t="s">
        <v>71</v>
      </c>
      <c r="N239" s="14" t="s">
        <v>433</v>
      </c>
      <c r="O239" s="34"/>
      <c r="P239" s="34"/>
      <c r="Q239" s="34"/>
      <c r="R239" s="34"/>
      <c r="S239" s="34"/>
      <c r="T239" s="34"/>
      <c r="U239" s="34"/>
      <c r="V239" s="34"/>
      <c r="W239" s="34"/>
      <c r="X239" s="35" t="s">
        <v>550</v>
      </c>
      <c r="Y239" s="34"/>
      <c r="Z239" s="22"/>
      <c r="AA239" s="22"/>
      <c r="AB239" s="22"/>
      <c r="AC239" s="22"/>
      <c r="AD239" s="22"/>
    </row>
    <row r="240">
      <c r="A240" s="21">
        <v>239.0</v>
      </c>
      <c r="B240" s="32" t="s">
        <v>551</v>
      </c>
      <c r="C240" s="16" t="str">
        <f>IFERROR(__xludf.DUMMYFUNCTION("XLOOKUP(B240,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""-"")"),"DHANUSH  J B")</f>
        <v>DHANUSH  J B</v>
      </c>
      <c r="D240" s="17" t="str">
        <f>IFERROR(__xludf.DUMMYFUNCTION("XLOOKUP(B240,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240" s="33" t="s">
        <v>154</v>
      </c>
      <c r="F240" s="14">
        <v>3.6</v>
      </c>
      <c r="G240" s="14" t="s">
        <v>59</v>
      </c>
      <c r="H240" s="14"/>
      <c r="I240" s="14" t="s">
        <v>136</v>
      </c>
      <c r="J240" s="14" t="s">
        <v>63</v>
      </c>
      <c r="K240" s="17" t="str">
        <f>IFERROR(__xludf.DUMMYFUNCTION("XLOOKUP(B240,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""-"")"),"dhanushjb.ec23@bitsathy.ac.in")</f>
        <v>dhanushjb.ec23@bitsathy.ac.in</v>
      </c>
      <c r="L240" s="21" t="str">
        <f>IFERROR(__xludf.DUMMYFUNCTION("XLOOKUP(B240,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""-"")"),"9345848610")</f>
        <v>9345848610</v>
      </c>
      <c r="M240" s="14" t="s">
        <v>420</v>
      </c>
      <c r="N240" s="14" t="s">
        <v>552</v>
      </c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22"/>
      <c r="AA240" s="22"/>
      <c r="AB240" s="22"/>
      <c r="AC240" s="22"/>
      <c r="AD240" s="22"/>
    </row>
    <row r="241">
      <c r="A241" s="21">
        <v>240.0</v>
      </c>
      <c r="B241" s="32" t="s">
        <v>553</v>
      </c>
      <c r="C241" s="16" t="str">
        <f>IFERROR(__xludf.DUMMYFUNCTION("XLOOKUP(B241,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""-"")"),"SIVASREE K")</f>
        <v>SIVASREE K</v>
      </c>
      <c r="D241" s="17" t="str">
        <f>IFERROR(__xludf.DUMMYFUNCTION("XLOOKUP(B241,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241" s="51" t="s">
        <v>166</v>
      </c>
      <c r="F241" s="14">
        <v>3.0</v>
      </c>
      <c r="G241" s="14" t="s">
        <v>59</v>
      </c>
      <c r="H241" s="14"/>
      <c r="I241" s="14" t="s">
        <v>136</v>
      </c>
      <c r="J241" s="14" t="s">
        <v>63</v>
      </c>
      <c r="K241" s="17" t="str">
        <f>IFERROR(__xludf.DUMMYFUNCTION("XLOOKUP(B241,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""-"")"),"sivasree.fd23@bitsathy.ac.in")</f>
        <v>sivasree.fd23@bitsathy.ac.in</v>
      </c>
      <c r="L241" s="21" t="str">
        <f>IFERROR(__xludf.DUMMYFUNCTION("XLOOKUP(B241,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""-"")"),"9080873925")</f>
        <v>9080873925</v>
      </c>
      <c r="M241" s="14" t="s">
        <v>240</v>
      </c>
      <c r="N241" s="14" t="s">
        <v>552</v>
      </c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22"/>
      <c r="AA241" s="22"/>
      <c r="AB241" s="22"/>
      <c r="AC241" s="22"/>
      <c r="AD241" s="22"/>
    </row>
    <row r="242">
      <c r="A242" s="21">
        <v>241.0</v>
      </c>
      <c r="B242" s="32" t="s">
        <v>554</v>
      </c>
      <c r="C242" s="16" t="str">
        <f>IFERROR(__xludf.DUMMYFUNCTION("XLOOKUP(B242,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""-"")"),"LAKSITA E")</f>
        <v>LAKSITA E</v>
      </c>
      <c r="D242" s="17" t="str">
        <f>IFERROR(__xludf.DUMMYFUNCTION("XLOOKUP(B242,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242" s="51" t="s">
        <v>166</v>
      </c>
      <c r="F242" s="14">
        <v>3.0</v>
      </c>
      <c r="G242" s="14" t="s">
        <v>59</v>
      </c>
      <c r="H242" s="14"/>
      <c r="I242" s="14" t="s">
        <v>136</v>
      </c>
      <c r="J242" s="14" t="s">
        <v>63</v>
      </c>
      <c r="K242" s="17" t="str">
        <f>IFERROR(__xludf.DUMMYFUNCTION("XLOOKUP(B242,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""-"")"),"laksita.fd23@bitsathy.ac.in")</f>
        <v>laksita.fd23@bitsathy.ac.in</v>
      </c>
      <c r="L242" s="21" t="str">
        <f>IFERROR(__xludf.DUMMYFUNCTION("XLOOKUP(B242,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""-"")"),"9042925034")</f>
        <v>9042925034</v>
      </c>
      <c r="M242" s="14" t="s">
        <v>240</v>
      </c>
      <c r="N242" s="14" t="s">
        <v>552</v>
      </c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22"/>
      <c r="AA242" s="22"/>
      <c r="AB242" s="22"/>
      <c r="AC242" s="22"/>
      <c r="AD242" s="22"/>
    </row>
    <row r="243">
      <c r="A243" s="21">
        <v>242.0</v>
      </c>
      <c r="B243" s="32" t="s">
        <v>555</v>
      </c>
      <c r="C243" s="16" t="str">
        <f>IFERROR(__xludf.DUMMYFUNCTION("XLOOKUP(B243,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""-"")"),"JEVA AKSHAYA D S")</f>
        <v>JEVA AKSHAYA D S</v>
      </c>
      <c r="D243" s="17" t="str">
        <f>IFERROR(__xludf.DUMMYFUNCTION("XLOOKUP(B243,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243" s="51" t="s">
        <v>166</v>
      </c>
      <c r="F243" s="14">
        <v>3.0</v>
      </c>
      <c r="G243" s="14" t="s">
        <v>59</v>
      </c>
      <c r="H243" s="14"/>
      <c r="I243" s="14" t="s">
        <v>136</v>
      </c>
      <c r="J243" s="14" t="s">
        <v>63</v>
      </c>
      <c r="K243" s="17" t="str">
        <f>IFERROR(__xludf.DUMMYFUNCTION("XLOOKUP(B243,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""-"")"),"jevaakshaya.fd23@bitsathy.ac.in")</f>
        <v>jevaakshaya.fd23@bitsathy.ac.in</v>
      </c>
      <c r="L243" s="21" t="str">
        <f>IFERROR(__xludf.DUMMYFUNCTION("XLOOKUP(B243,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""-"")"),"9345556043")</f>
        <v>9345556043</v>
      </c>
      <c r="M243" s="14" t="s">
        <v>240</v>
      </c>
      <c r="N243" s="14" t="s">
        <v>552</v>
      </c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22"/>
      <c r="AA243" s="22"/>
      <c r="AB243" s="22"/>
      <c r="AC243" s="22"/>
      <c r="AD243" s="22"/>
    </row>
    <row r="244">
      <c r="A244" s="21">
        <v>243.0</v>
      </c>
      <c r="B244" s="32" t="s">
        <v>556</v>
      </c>
      <c r="C244" s="16" t="str">
        <f>IFERROR(__xludf.DUMMYFUNCTION("XLOOKUP(B244,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""-"")"),"ARUNKRISHNA G")</f>
        <v>ARUNKRISHNA G</v>
      </c>
      <c r="D244" s="17" t="str">
        <f>IFERROR(__xludf.DUMMYFUNCTION("XLOOKUP(B244,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244" s="51" t="s">
        <v>166</v>
      </c>
      <c r="F244" s="14">
        <v>3.0</v>
      </c>
      <c r="G244" s="14" t="s">
        <v>59</v>
      </c>
      <c r="H244" s="14"/>
      <c r="I244" s="14" t="s">
        <v>136</v>
      </c>
      <c r="J244" s="14" t="s">
        <v>63</v>
      </c>
      <c r="K244" s="17" t="str">
        <f>IFERROR(__xludf.DUMMYFUNCTION("XLOOKUP(B244,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""-"")"),"arunkrishna.fd23@bitsathy.ac.in")</f>
        <v>arunkrishna.fd23@bitsathy.ac.in</v>
      </c>
      <c r="L244" s="21" t="str">
        <f>IFERROR(__xludf.DUMMYFUNCTION("XLOOKUP(B244,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""-"")"),"7092409633")</f>
        <v>7092409633</v>
      </c>
      <c r="M244" s="14" t="s">
        <v>240</v>
      </c>
      <c r="N244" s="14" t="s">
        <v>552</v>
      </c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22"/>
      <c r="AA244" s="22"/>
      <c r="AB244" s="22"/>
      <c r="AC244" s="22"/>
      <c r="AD244" s="22"/>
    </row>
    <row r="245">
      <c r="A245" s="21">
        <v>244.0</v>
      </c>
      <c r="B245" s="32" t="s">
        <v>557</v>
      </c>
      <c r="C245" s="16" t="str">
        <f>IFERROR(__xludf.DUMMYFUNCTION("XLOOKUP(B245,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""-"")"),"GAYATHRI B")</f>
        <v>GAYATHRI B</v>
      </c>
      <c r="D245" s="17" t="str">
        <f>IFERROR(__xludf.DUMMYFUNCTION("XLOOKUP(B245,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245" s="51" t="s">
        <v>135</v>
      </c>
      <c r="F245" s="14">
        <v>7.2</v>
      </c>
      <c r="G245" s="14" t="s">
        <v>59</v>
      </c>
      <c r="H245" s="14" t="s">
        <v>60</v>
      </c>
      <c r="I245" s="14" t="s">
        <v>62</v>
      </c>
      <c r="J245" s="14" t="s">
        <v>63</v>
      </c>
      <c r="K245" s="17" t="str">
        <f>IFERROR(__xludf.DUMMYFUNCTION("XLOOKUP(B245,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""-"")"),"gayathri.ct23@bitsathy.ac.in")</f>
        <v>gayathri.ct23@bitsathy.ac.in</v>
      </c>
      <c r="L245" s="21" t="str">
        <f>IFERROR(__xludf.DUMMYFUNCTION("XLOOKUP(B245,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""-"")"),"8637618820")</f>
        <v>8637618820</v>
      </c>
      <c r="M245" s="14" t="s">
        <v>71</v>
      </c>
      <c r="N245" s="14" t="s">
        <v>558</v>
      </c>
      <c r="O245" s="14" t="s">
        <v>559</v>
      </c>
      <c r="P245" s="34"/>
      <c r="Q245" s="34"/>
      <c r="R245" s="34"/>
      <c r="S245" s="34"/>
      <c r="T245" s="34"/>
      <c r="U245" s="34"/>
      <c r="V245" s="35" t="s">
        <v>560</v>
      </c>
      <c r="W245" s="34"/>
      <c r="X245" s="34"/>
      <c r="Y245" s="34"/>
      <c r="Z245" s="22"/>
      <c r="AA245" s="22"/>
      <c r="AB245" s="22"/>
      <c r="AC245" s="22"/>
      <c r="AD245" s="22"/>
    </row>
    <row r="246">
      <c r="A246" s="21">
        <v>245.0</v>
      </c>
      <c r="B246" s="32" t="s">
        <v>308</v>
      </c>
      <c r="C246" s="16" t="str">
        <f>IFERROR(__xludf.DUMMYFUNCTION("XLOOKUP(B246,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""-"")"),"PARAMASIVAM  P")</f>
        <v>PARAMASIVAM  P</v>
      </c>
      <c r="D246" s="17" t="str">
        <f>IFERROR(__xludf.DUMMYFUNCTION("XLOOKUP(B246,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46" s="51" t="s">
        <v>135</v>
      </c>
      <c r="F246" s="14">
        <v>7.2</v>
      </c>
      <c r="G246" s="14" t="s">
        <v>59</v>
      </c>
      <c r="H246" s="14" t="s">
        <v>60</v>
      </c>
      <c r="I246" s="14" t="s">
        <v>62</v>
      </c>
      <c r="J246" s="14" t="s">
        <v>63</v>
      </c>
      <c r="K246" s="17" t="str">
        <f>IFERROR(__xludf.DUMMYFUNCTION("XLOOKUP(B246,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""-"")"),"paramasivam.cs23@bitsathy.ac.in")</f>
        <v>paramasivam.cs23@bitsathy.ac.in</v>
      </c>
      <c r="L246" s="21" t="str">
        <f>IFERROR(__xludf.DUMMYFUNCTION("XLOOKUP(B246,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""-"")"),"6379873392")</f>
        <v>6379873392</v>
      </c>
      <c r="M246" s="14" t="s">
        <v>71</v>
      </c>
      <c r="N246" s="14" t="s">
        <v>558</v>
      </c>
      <c r="O246" s="14" t="s">
        <v>559</v>
      </c>
      <c r="P246" s="34"/>
      <c r="Q246" s="34"/>
      <c r="R246" s="34"/>
      <c r="S246" s="34"/>
      <c r="T246" s="34"/>
      <c r="U246" s="34"/>
      <c r="V246" s="35" t="s">
        <v>561</v>
      </c>
      <c r="W246" s="34"/>
      <c r="X246" s="34"/>
      <c r="Y246" s="34"/>
      <c r="Z246" s="22"/>
      <c r="AA246" s="22"/>
      <c r="AB246" s="22"/>
      <c r="AC246" s="22"/>
      <c r="AD246" s="22"/>
    </row>
    <row r="247">
      <c r="A247" s="21">
        <v>246.0</v>
      </c>
      <c r="B247" s="32" t="s">
        <v>294</v>
      </c>
      <c r="C247" s="16" t="str">
        <f>IFERROR(__xludf.DUMMYFUNCTION("XLOOKUP(B247,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""-"")"),"ISHWARYA  R")</f>
        <v>ISHWARYA  R</v>
      </c>
      <c r="D247" s="17" t="str">
        <f>IFERROR(__xludf.DUMMYFUNCTION("XLOOKUP(B247,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47" s="51" t="s">
        <v>135</v>
      </c>
      <c r="F247" s="14">
        <v>6.0</v>
      </c>
      <c r="G247" s="14" t="s">
        <v>59</v>
      </c>
      <c r="H247" s="14" t="s">
        <v>60</v>
      </c>
      <c r="I247" s="14" t="s">
        <v>62</v>
      </c>
      <c r="J247" s="14" t="s">
        <v>63</v>
      </c>
      <c r="K247" s="17" t="str">
        <f>IFERROR(__xludf.DUMMYFUNCTION("XLOOKUP(B247,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""-"")"),"ishwarya.ad23@bitsathy.ac.in")</f>
        <v>ishwarya.ad23@bitsathy.ac.in</v>
      </c>
      <c r="L247" s="21" t="str">
        <f>IFERROR(__xludf.DUMMYFUNCTION("XLOOKUP(B247,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""-"")"),"9489523948")</f>
        <v>9489523948</v>
      </c>
      <c r="M247" s="14" t="s">
        <v>71</v>
      </c>
      <c r="N247" s="14" t="s">
        <v>558</v>
      </c>
      <c r="O247" s="14" t="s">
        <v>559</v>
      </c>
      <c r="P247" s="34"/>
      <c r="Q247" s="34"/>
      <c r="R247" s="34"/>
      <c r="S247" s="34"/>
      <c r="T247" s="34"/>
      <c r="U247" s="34"/>
      <c r="V247" s="35" t="s">
        <v>562</v>
      </c>
      <c r="W247" s="34"/>
      <c r="X247" s="34"/>
      <c r="Y247" s="34"/>
      <c r="Z247" s="22"/>
      <c r="AA247" s="22"/>
      <c r="AB247" s="22"/>
      <c r="AC247" s="22"/>
      <c r="AD247" s="22"/>
    </row>
    <row r="248">
      <c r="A248" s="21">
        <v>247.0</v>
      </c>
      <c r="B248" s="32" t="s">
        <v>563</v>
      </c>
      <c r="C248" s="16" t="str">
        <f>IFERROR(__xludf.DUMMYFUNCTION("XLOOKUP(B248,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""-"")"),"SRUTHI SAMRUDA D")</f>
        <v>SRUTHI SAMRUDA D</v>
      </c>
      <c r="D248" s="17" t="str">
        <f>IFERROR(__xludf.DUMMYFUNCTION("XLOOKUP(B248,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48" s="51" t="s">
        <v>135</v>
      </c>
      <c r="F248" s="14">
        <v>4.8</v>
      </c>
      <c r="G248" s="14" t="s">
        <v>59</v>
      </c>
      <c r="H248" s="14" t="s">
        <v>60</v>
      </c>
      <c r="I248" s="14" t="s">
        <v>62</v>
      </c>
      <c r="J248" s="14" t="s">
        <v>63</v>
      </c>
      <c r="K248" s="17" t="str">
        <f>IFERROR(__xludf.DUMMYFUNCTION("XLOOKUP(B248,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""-"")"),"sruthisamruda.cb23@bitsathy.ac.in")</f>
        <v>sruthisamruda.cb23@bitsathy.ac.in</v>
      </c>
      <c r="L248" s="21" t="str">
        <f>IFERROR(__xludf.DUMMYFUNCTION("XLOOKUP(B248,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""-"")"),"9360392154")</f>
        <v>9360392154</v>
      </c>
      <c r="M248" s="14" t="s">
        <v>71</v>
      </c>
      <c r="N248" s="14" t="s">
        <v>558</v>
      </c>
      <c r="O248" s="14" t="s">
        <v>559</v>
      </c>
      <c r="P248" s="34"/>
      <c r="Q248" s="34"/>
      <c r="R248" s="34"/>
      <c r="S248" s="34"/>
      <c r="T248" s="34"/>
      <c r="U248" s="34"/>
      <c r="V248" s="35" t="s">
        <v>564</v>
      </c>
      <c r="W248" s="34"/>
      <c r="X248" s="34"/>
      <c r="Y248" s="34"/>
      <c r="Z248" s="22"/>
      <c r="AA248" s="22"/>
      <c r="AB248" s="22"/>
      <c r="AC248" s="22"/>
      <c r="AD248" s="22"/>
    </row>
    <row r="249">
      <c r="A249" s="21">
        <v>248.0</v>
      </c>
      <c r="B249" s="32" t="s">
        <v>565</v>
      </c>
      <c r="C249" s="16" t="str">
        <f>IFERROR(__xludf.DUMMYFUNCTION("XLOOKUP(B249,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""-"")"),"ASHVITHA THANYA K")</f>
        <v>ASHVITHA THANYA K</v>
      </c>
      <c r="D249" s="17" t="str">
        <f>IFERROR(__xludf.DUMMYFUNCTION("XLOOKUP(B249,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249" s="51" t="s">
        <v>135</v>
      </c>
      <c r="F249" s="14">
        <v>4.8</v>
      </c>
      <c r="G249" s="14" t="s">
        <v>59</v>
      </c>
      <c r="H249" s="14" t="s">
        <v>60</v>
      </c>
      <c r="I249" s="14" t="s">
        <v>62</v>
      </c>
      <c r="J249" s="14" t="s">
        <v>63</v>
      </c>
      <c r="K249" s="17" t="str">
        <f>IFERROR(__xludf.DUMMYFUNCTION("XLOOKUP(B249,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""-"")"),"ashvithathanya.ec23@bitsathy.ac.in")</f>
        <v>ashvithathanya.ec23@bitsathy.ac.in</v>
      </c>
      <c r="L249" s="21" t="str">
        <f>IFERROR(__xludf.DUMMYFUNCTION("XLOOKUP(B249,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""-"")"),"9345833351")</f>
        <v>9345833351</v>
      </c>
      <c r="M249" s="14" t="s">
        <v>71</v>
      </c>
      <c r="N249" s="14" t="s">
        <v>558</v>
      </c>
      <c r="O249" s="14" t="s">
        <v>559</v>
      </c>
      <c r="P249" s="34"/>
      <c r="Q249" s="34"/>
      <c r="R249" s="34"/>
      <c r="S249" s="34"/>
      <c r="T249" s="34"/>
      <c r="U249" s="34"/>
      <c r="V249" s="35" t="s">
        <v>566</v>
      </c>
      <c r="W249" s="34"/>
      <c r="X249" s="34"/>
      <c r="Y249" s="34"/>
      <c r="Z249" s="22"/>
      <c r="AA249" s="22"/>
      <c r="AB249" s="22"/>
      <c r="AC249" s="22"/>
      <c r="AD249" s="22"/>
    </row>
    <row r="250">
      <c r="A250" s="21">
        <v>249.0</v>
      </c>
      <c r="B250" s="32" t="s">
        <v>567</v>
      </c>
      <c r="C250" s="16" t="str">
        <f>IFERROR(__xludf.DUMMYFUNCTION("XLOOKUP(B250,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""-"")"),"MUKESH R")</f>
        <v>MUKESH R</v>
      </c>
      <c r="D250" s="17" t="str">
        <f>IFERROR(__xludf.DUMMYFUNCTION("XLOOKUP(B250,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50" s="51" t="s">
        <v>135</v>
      </c>
      <c r="F250" s="14">
        <v>4.8</v>
      </c>
      <c r="G250" s="14" t="s">
        <v>59</v>
      </c>
      <c r="H250" s="14" t="s">
        <v>60</v>
      </c>
      <c r="I250" s="14" t="s">
        <v>62</v>
      </c>
      <c r="J250" s="14" t="s">
        <v>63</v>
      </c>
      <c r="K250" s="17" t="str">
        <f>IFERROR(__xludf.DUMMYFUNCTION("XLOOKUP(B250,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""-"")"),"mukesh.cs23@bitsathy.ac.in")</f>
        <v>mukesh.cs23@bitsathy.ac.in</v>
      </c>
      <c r="L250" s="21" t="str">
        <f>IFERROR(__xludf.DUMMYFUNCTION("XLOOKUP(B250,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""-"")"),"6381952282")</f>
        <v>6381952282</v>
      </c>
      <c r="M250" s="14" t="s">
        <v>71</v>
      </c>
      <c r="N250" s="14" t="s">
        <v>558</v>
      </c>
      <c r="O250" s="14" t="s">
        <v>559</v>
      </c>
      <c r="P250" s="34"/>
      <c r="Q250" s="34"/>
      <c r="R250" s="34"/>
      <c r="S250" s="34"/>
      <c r="T250" s="34"/>
      <c r="U250" s="34"/>
      <c r="V250" s="34"/>
      <c r="W250" s="34"/>
      <c r="X250" s="35" t="s">
        <v>568</v>
      </c>
      <c r="Y250" s="34"/>
      <c r="Z250" s="22"/>
      <c r="AA250" s="22"/>
      <c r="AB250" s="22"/>
      <c r="AC250" s="22"/>
      <c r="AD250" s="22"/>
    </row>
    <row r="251">
      <c r="A251" s="21">
        <v>250.0</v>
      </c>
      <c r="B251" s="32" t="s">
        <v>569</v>
      </c>
      <c r="C251" s="16" t="str">
        <f>IFERROR(__xludf.DUMMYFUNCTION("XLOOKUP(B251,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""-"")"),"NESHIKA C P")</f>
        <v>NESHIKA C P</v>
      </c>
      <c r="D251" s="17" t="str">
        <f>IFERROR(__xludf.DUMMYFUNCTION("XLOOKUP(B251,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251" s="51" t="s">
        <v>123</v>
      </c>
      <c r="F251" s="14">
        <v>3.0</v>
      </c>
      <c r="G251" s="14" t="s">
        <v>59</v>
      </c>
      <c r="H251" s="14" t="s">
        <v>60</v>
      </c>
      <c r="I251" s="14" t="s">
        <v>570</v>
      </c>
      <c r="J251" s="14" t="s">
        <v>63</v>
      </c>
      <c r="K251" s="17" t="str">
        <f>IFERROR(__xludf.DUMMYFUNCTION("XLOOKUP(B251,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""-"")"),"neshika.bt23@bitsathy.ac.in")</f>
        <v>neshika.bt23@bitsathy.ac.in</v>
      </c>
      <c r="L251" s="21" t="str">
        <f>IFERROR(__xludf.DUMMYFUNCTION("XLOOKUP(B251,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""-"")"),"9345428434")</f>
        <v>9345428434</v>
      </c>
      <c r="M251" s="14" t="s">
        <v>71</v>
      </c>
      <c r="N251" s="14" t="s">
        <v>558</v>
      </c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22"/>
      <c r="AA251" s="22"/>
      <c r="AB251" s="22"/>
      <c r="AC251" s="22"/>
      <c r="AD251" s="22"/>
    </row>
    <row r="252">
      <c r="A252" s="21">
        <v>251.0</v>
      </c>
      <c r="B252" s="32" t="s">
        <v>571</v>
      </c>
      <c r="C252" s="16" t="str">
        <f>IFERROR(__xludf.DUMMYFUNCTION("XLOOKUP(B252,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""-"")"),"PRIYAN  M")</f>
        <v>PRIYAN  M</v>
      </c>
      <c r="D252" s="17" t="str">
        <f>IFERROR(__xludf.DUMMYFUNCTION("XLOOKUP(B252,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52" s="51" t="s">
        <v>148</v>
      </c>
      <c r="F252" s="14">
        <v>5.0</v>
      </c>
      <c r="G252" s="14" t="s">
        <v>252</v>
      </c>
      <c r="H252" s="14"/>
      <c r="I252" s="14" t="s">
        <v>62</v>
      </c>
      <c r="J252" s="14" t="s">
        <v>99</v>
      </c>
      <c r="K252" s="17" t="str">
        <f>IFERROR(__xludf.DUMMYFUNCTION("XLOOKUP(B252,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""-"")"),"priyan.cs23@bitsathy.ac.in")</f>
        <v>priyan.cs23@bitsathy.ac.in</v>
      </c>
      <c r="L252" s="21" t="str">
        <f>IFERROR(__xludf.DUMMYFUNCTION("XLOOKUP(B252,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""-"")"),"9962287990")</f>
        <v>9962287990</v>
      </c>
      <c r="M252" s="14" t="s">
        <v>71</v>
      </c>
      <c r="N252" s="14" t="s">
        <v>572</v>
      </c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22"/>
      <c r="AA252" s="22"/>
      <c r="AB252" s="22"/>
      <c r="AC252" s="22"/>
      <c r="AD252" s="22"/>
    </row>
    <row r="253">
      <c r="A253" s="21">
        <v>252.0</v>
      </c>
      <c r="B253" s="32" t="s">
        <v>573</v>
      </c>
      <c r="C253" s="16" t="str">
        <f>IFERROR(__xludf.DUMMYFUNCTION("XLOOKUP(B253,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""-"")"),"MUKESH RAJ K")</f>
        <v>MUKESH RAJ K</v>
      </c>
      <c r="D253" s="17" t="str">
        <f>IFERROR(__xludf.DUMMYFUNCTION("XLOOKUP(B253,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53" s="51" t="s">
        <v>148</v>
      </c>
      <c r="F253" s="14">
        <v>5.0</v>
      </c>
      <c r="G253" s="14" t="s">
        <v>252</v>
      </c>
      <c r="H253" s="14"/>
      <c r="I253" s="14" t="s">
        <v>62</v>
      </c>
      <c r="J253" s="14" t="s">
        <v>99</v>
      </c>
      <c r="K253" s="17" t="str">
        <f>IFERROR(__xludf.DUMMYFUNCTION("XLOOKUP(B253,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""-"")"),"mukeshraj.al23@bitsathy.ac.in")</f>
        <v>mukeshraj.al23@bitsathy.ac.in</v>
      </c>
      <c r="L253" s="21" t="str">
        <f>IFERROR(__xludf.DUMMYFUNCTION("XLOOKUP(B253,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""-"")"),"8754390577")</f>
        <v>8754390577</v>
      </c>
      <c r="M253" s="14" t="s">
        <v>71</v>
      </c>
      <c r="N253" s="14" t="s">
        <v>572</v>
      </c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22"/>
      <c r="AA253" s="22"/>
      <c r="AB253" s="22"/>
      <c r="AC253" s="22"/>
      <c r="AD253" s="22"/>
    </row>
    <row r="254">
      <c r="A254" s="21">
        <v>253.0</v>
      </c>
      <c r="B254" s="32" t="s">
        <v>574</v>
      </c>
      <c r="C254" s="16" t="str">
        <f>IFERROR(__xludf.DUMMYFUNCTION("XLOOKUP(B254,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""-"")"),"PATRICK THOMAS  T")</f>
        <v>PATRICK THOMAS  T</v>
      </c>
      <c r="D254" s="17" t="str">
        <f>IFERROR(__xludf.DUMMYFUNCTION("XLOOKUP(B254,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54" s="51" t="s">
        <v>148</v>
      </c>
      <c r="F254" s="14">
        <v>5.0</v>
      </c>
      <c r="G254" s="14" t="s">
        <v>252</v>
      </c>
      <c r="H254" s="14"/>
      <c r="I254" s="14" t="s">
        <v>62</v>
      </c>
      <c r="J254" s="14" t="s">
        <v>99</v>
      </c>
      <c r="K254" s="17" t="str">
        <f>IFERROR(__xludf.DUMMYFUNCTION("XLOOKUP(B254,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""-"")"),"patrickthomas.al23@bitsathy.ac.in")</f>
        <v>patrickthomas.al23@bitsathy.ac.in</v>
      </c>
      <c r="L254" s="21" t="str">
        <f>IFERROR(__xludf.DUMMYFUNCTION("XLOOKUP(B254,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""-"")"),"9688121487")</f>
        <v>9688121487</v>
      </c>
      <c r="M254" s="14" t="s">
        <v>71</v>
      </c>
      <c r="N254" s="14" t="s">
        <v>572</v>
      </c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22"/>
      <c r="AA254" s="22"/>
      <c r="AB254" s="22"/>
      <c r="AC254" s="22"/>
      <c r="AD254" s="22"/>
    </row>
    <row r="255">
      <c r="A255" s="21">
        <v>254.0</v>
      </c>
      <c r="B255" s="32" t="s">
        <v>549</v>
      </c>
      <c r="C255" s="16" t="str">
        <f>IFERROR(__xludf.DUMMYFUNCTION("XLOOKUP(B255,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""-"")"),"ARGHA CHAKRABORTTY")</f>
        <v>ARGHA CHAKRABORTTY</v>
      </c>
      <c r="D255" s="17" t="str">
        <f>IFERROR(__xludf.DUMMYFUNCTION("XLOOKUP(B255,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55" s="51" t="s">
        <v>148</v>
      </c>
      <c r="F255" s="14">
        <v>5.0</v>
      </c>
      <c r="G255" s="14" t="s">
        <v>252</v>
      </c>
      <c r="H255" s="14"/>
      <c r="I255" s="14" t="s">
        <v>62</v>
      </c>
      <c r="J255" s="14" t="s">
        <v>99</v>
      </c>
      <c r="K255" s="17" t="str">
        <f>IFERROR(__xludf.DUMMYFUNCTION("XLOOKUP(B255,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""-"")"),"arghachakrabortty.se23@bitsathy.ac.in")</f>
        <v>arghachakrabortty.se23@bitsathy.ac.in</v>
      </c>
      <c r="L255" s="21" t="str">
        <f>IFERROR(__xludf.DUMMYFUNCTION("XLOOKUP(B255,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""-"")"),"9345120024")</f>
        <v>9345120024</v>
      </c>
      <c r="M255" s="14" t="s">
        <v>71</v>
      </c>
      <c r="N255" s="14" t="s">
        <v>572</v>
      </c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22"/>
      <c r="AA255" s="22"/>
      <c r="AB255" s="22"/>
      <c r="AC255" s="22"/>
      <c r="AD255" s="22"/>
    </row>
    <row r="256">
      <c r="A256" s="21">
        <v>255.0</v>
      </c>
      <c r="B256" s="32" t="s">
        <v>575</v>
      </c>
      <c r="C256" s="16" t="str">
        <f>IFERROR(__xludf.DUMMYFUNCTION("XLOOKUP(B256,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""-"")"),"SHANJUTHA G S")</f>
        <v>SHANJUTHA G S</v>
      </c>
      <c r="D256" s="17" t="str">
        <f>IFERROR(__xludf.DUMMYFUNCTION("XLOOKUP(B256,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256" s="51" t="s">
        <v>148</v>
      </c>
      <c r="F256" s="14">
        <v>5.0</v>
      </c>
      <c r="G256" s="14" t="s">
        <v>252</v>
      </c>
      <c r="H256" s="14"/>
      <c r="I256" s="14" t="s">
        <v>62</v>
      </c>
      <c r="J256" s="14" t="s">
        <v>99</v>
      </c>
      <c r="K256" s="17" t="str">
        <f>IFERROR(__xludf.DUMMYFUNCTION("XLOOKUP(B256,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""-"")"),"shanjutha.se23@bitsathy.ac.in")</f>
        <v>shanjutha.se23@bitsathy.ac.in</v>
      </c>
      <c r="L256" s="21" t="str">
        <f>IFERROR(__xludf.DUMMYFUNCTION("XLOOKUP(B256,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""-"")"),"9894666169")</f>
        <v>9894666169</v>
      </c>
      <c r="M256" s="14" t="s">
        <v>71</v>
      </c>
      <c r="N256" s="14" t="s">
        <v>572</v>
      </c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22"/>
      <c r="AA256" s="22"/>
      <c r="AB256" s="22"/>
      <c r="AC256" s="22"/>
      <c r="AD256" s="22"/>
    </row>
    <row r="257">
      <c r="A257" s="21">
        <v>256.0</v>
      </c>
      <c r="B257" s="32" t="s">
        <v>576</v>
      </c>
      <c r="C257" s="16" t="str">
        <f>IFERROR(__xludf.DUMMYFUNCTION("XLOOKUP(B257,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""-"")"),"MITHRA VINDA  S")</f>
        <v>MITHRA VINDA  S</v>
      </c>
      <c r="D257" s="17" t="str">
        <f>IFERROR(__xludf.DUMMYFUNCTION("XLOOKUP(B257,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57" s="51" t="s">
        <v>148</v>
      </c>
      <c r="F257" s="14">
        <v>5.0</v>
      </c>
      <c r="G257" s="14" t="s">
        <v>252</v>
      </c>
      <c r="H257" s="14"/>
      <c r="I257" s="14" t="s">
        <v>62</v>
      </c>
      <c r="J257" s="14" t="s">
        <v>99</v>
      </c>
      <c r="K257" s="17" t="str">
        <f>IFERROR(__xludf.DUMMYFUNCTION("XLOOKUP(B257,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""-"")"),"mithravinda.cb23@bitsathy.ac.in")</f>
        <v>mithravinda.cb23@bitsathy.ac.in</v>
      </c>
      <c r="L257" s="21" t="str">
        <f>IFERROR(__xludf.DUMMYFUNCTION("XLOOKUP(B257,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""-"")"),"8778257276")</f>
        <v>8778257276</v>
      </c>
      <c r="M257" s="14" t="s">
        <v>71</v>
      </c>
      <c r="N257" s="14" t="s">
        <v>572</v>
      </c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22"/>
      <c r="AA257" s="22"/>
      <c r="AB257" s="22"/>
      <c r="AC257" s="22"/>
      <c r="AD257" s="22"/>
    </row>
    <row r="258">
      <c r="A258" s="21">
        <v>257.0</v>
      </c>
      <c r="B258" s="32" t="s">
        <v>577</v>
      </c>
      <c r="C258" s="16" t="str">
        <f>IFERROR(__xludf.DUMMYFUNCTION("XLOOKUP(B258,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""-"")"),"MANISHA D")</f>
        <v>MANISHA D</v>
      </c>
      <c r="D258" s="17" t="str">
        <f>IFERROR(__xludf.DUMMYFUNCTION("XLOOKUP(B258,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258" s="51" t="s">
        <v>148</v>
      </c>
      <c r="F258" s="14">
        <v>5.0</v>
      </c>
      <c r="G258" s="14" t="s">
        <v>252</v>
      </c>
      <c r="H258" s="14"/>
      <c r="I258" s="14" t="s">
        <v>62</v>
      </c>
      <c r="J258" s="14" t="s">
        <v>99</v>
      </c>
      <c r="K258" s="17" t="str">
        <f>IFERROR(__xludf.DUMMYFUNCTION("XLOOKUP(B258,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""-"")"),"manisha.ec23@bitsathy.ac.in")</f>
        <v>manisha.ec23@bitsathy.ac.in</v>
      </c>
      <c r="L258" s="21" t="str">
        <f>IFERROR(__xludf.DUMMYFUNCTION("XLOOKUP(B258,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""-"")"),"9500590029")</f>
        <v>9500590029</v>
      </c>
      <c r="M258" s="14" t="s">
        <v>71</v>
      </c>
      <c r="N258" s="14" t="s">
        <v>572</v>
      </c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22"/>
      <c r="AA258" s="22"/>
      <c r="AB258" s="22"/>
      <c r="AC258" s="22"/>
      <c r="AD258" s="22"/>
    </row>
    <row r="259">
      <c r="A259" s="21">
        <v>258.0</v>
      </c>
      <c r="B259" s="32" t="s">
        <v>479</v>
      </c>
      <c r="C259" s="16" t="str">
        <f>IFERROR(__xludf.DUMMYFUNCTION("XLOOKUP(B259,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""-"")"),"THARANIKA R")</f>
        <v>THARANIKA R</v>
      </c>
      <c r="D259" s="17" t="str">
        <f>IFERROR(__xludf.DUMMYFUNCTION("XLOOKUP(B259,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59" s="51" t="s">
        <v>148</v>
      </c>
      <c r="F259" s="14">
        <v>5.0</v>
      </c>
      <c r="G259" s="14" t="s">
        <v>252</v>
      </c>
      <c r="H259" s="14"/>
      <c r="I259" s="14" t="s">
        <v>62</v>
      </c>
      <c r="J259" s="14" t="s">
        <v>99</v>
      </c>
      <c r="K259" s="17" t="str">
        <f>IFERROR(__xludf.DUMMYFUNCTION("XLOOKUP(B259,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""-"")"),"tharanika.cd23@bitsathy.ac.in")</f>
        <v>tharanika.cd23@bitsathy.ac.in</v>
      </c>
      <c r="L259" s="21" t="str">
        <f>IFERROR(__xludf.DUMMYFUNCTION("XLOOKUP(B259,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""-"")"),"9043453579")</f>
        <v>9043453579</v>
      </c>
      <c r="M259" s="14" t="s">
        <v>71</v>
      </c>
      <c r="N259" s="14" t="s">
        <v>572</v>
      </c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22"/>
      <c r="AA259" s="22"/>
      <c r="AB259" s="22"/>
      <c r="AC259" s="22"/>
      <c r="AD259" s="22"/>
    </row>
    <row r="260">
      <c r="A260" s="21">
        <v>259.0</v>
      </c>
      <c r="B260" s="32" t="s">
        <v>578</v>
      </c>
      <c r="C260" s="16" t="str">
        <f>IFERROR(__xludf.DUMMYFUNCTION("XLOOKUP(B260,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""-"")"),"GURUBARAN B S")</f>
        <v>GURUBARAN B S</v>
      </c>
      <c r="D260" s="17" t="str">
        <f>IFERROR(__xludf.DUMMYFUNCTION("XLOOKUP(B260,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60" s="51" t="s">
        <v>125</v>
      </c>
      <c r="F260" s="14">
        <v>9.09</v>
      </c>
      <c r="G260" s="14" t="s">
        <v>252</v>
      </c>
      <c r="H260" s="14"/>
      <c r="I260" s="14" t="s">
        <v>432</v>
      </c>
      <c r="J260" s="14" t="s">
        <v>579</v>
      </c>
      <c r="K260" s="17" t="str">
        <f>IFERROR(__xludf.DUMMYFUNCTION("XLOOKUP(B260,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""-"")"),"gurubaran.ad23@bitsathy.ac.in")</f>
        <v>gurubaran.ad23@bitsathy.ac.in</v>
      </c>
      <c r="L260" s="21" t="str">
        <f>IFERROR(__xludf.DUMMYFUNCTION("XLOOKUP(B260,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""-"")"),"9655501518")</f>
        <v>9655501518</v>
      </c>
      <c r="M260" s="14" t="s">
        <v>71</v>
      </c>
      <c r="N260" s="14" t="s">
        <v>559</v>
      </c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22"/>
      <c r="AA260" s="22"/>
      <c r="AB260" s="22"/>
      <c r="AC260" s="22"/>
      <c r="AD260" s="22"/>
    </row>
    <row r="261">
      <c r="A261" s="21">
        <v>260.0</v>
      </c>
      <c r="B261" s="32" t="s">
        <v>580</v>
      </c>
      <c r="C261" s="16" t="str">
        <f>IFERROR(__xludf.DUMMYFUNCTION("XLOOKUP(B261,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""-"")"),"SHANMUGA VIJAY T")</f>
        <v>SHANMUGA VIJAY T</v>
      </c>
      <c r="D261" s="17" t="str">
        <f>IFERROR(__xludf.DUMMYFUNCTION("XLOOKUP(B261,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61" s="51" t="s">
        <v>125</v>
      </c>
      <c r="F261" s="14">
        <v>9.09</v>
      </c>
      <c r="G261" s="14" t="s">
        <v>252</v>
      </c>
      <c r="H261" s="14"/>
      <c r="I261" s="14" t="s">
        <v>432</v>
      </c>
      <c r="J261" s="14" t="s">
        <v>579</v>
      </c>
      <c r="K261" s="17" t="str">
        <f>IFERROR(__xludf.DUMMYFUNCTION("XLOOKUP(B261,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""-"")"),"shanmugavijay.cs23@bitsathy.ac.in")</f>
        <v>shanmugavijay.cs23@bitsathy.ac.in</v>
      </c>
      <c r="L261" s="21" t="str">
        <f>IFERROR(__xludf.DUMMYFUNCTION("XLOOKUP(B261,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""-"")"),"6374245258")</f>
        <v>6374245258</v>
      </c>
      <c r="M261" s="14" t="s">
        <v>71</v>
      </c>
      <c r="N261" s="14" t="s">
        <v>559</v>
      </c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22"/>
      <c r="AA261" s="22"/>
      <c r="AB261" s="22"/>
      <c r="AC261" s="22"/>
      <c r="AD261" s="22"/>
    </row>
    <row r="262">
      <c r="A262" s="21">
        <v>261.0</v>
      </c>
      <c r="B262" s="32" t="s">
        <v>581</v>
      </c>
      <c r="C262" s="16" t="str">
        <f>IFERROR(__xludf.DUMMYFUNCTION("XLOOKUP(B262,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""-"")"),"SURESH KANNAN R V")</f>
        <v>SURESH KANNAN R V</v>
      </c>
      <c r="D262" s="17" t="str">
        <f>IFERROR(__xludf.DUMMYFUNCTION("XLOOKUP(B262,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62" s="51" t="s">
        <v>125</v>
      </c>
      <c r="F262" s="14">
        <v>9.09</v>
      </c>
      <c r="G262" s="14" t="s">
        <v>252</v>
      </c>
      <c r="H262" s="14"/>
      <c r="I262" s="14" t="s">
        <v>432</v>
      </c>
      <c r="J262" s="14" t="s">
        <v>579</v>
      </c>
      <c r="K262" s="17" t="str">
        <f>IFERROR(__xludf.DUMMYFUNCTION("XLOOKUP(B262,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""-"")"),"sureshkannan.cs23@bitsathy.ac.in")</f>
        <v>sureshkannan.cs23@bitsathy.ac.in</v>
      </c>
      <c r="L262" s="21" t="str">
        <f>IFERROR(__xludf.DUMMYFUNCTION("XLOOKUP(B262,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""-"")"),"9025763629")</f>
        <v>9025763629</v>
      </c>
      <c r="M262" s="14" t="s">
        <v>71</v>
      </c>
      <c r="N262" s="14" t="s">
        <v>559</v>
      </c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22"/>
      <c r="AA262" s="22"/>
      <c r="AB262" s="22"/>
      <c r="AC262" s="22"/>
      <c r="AD262" s="22"/>
    </row>
    <row r="263">
      <c r="A263" s="21">
        <v>262.0</v>
      </c>
      <c r="B263" s="32" t="s">
        <v>582</v>
      </c>
      <c r="C263" s="16" t="str">
        <f>IFERROR(__xludf.DUMMYFUNCTION("XLOOKUP(B263,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""-"")"),"ADHITHYAN M S")</f>
        <v>ADHITHYAN M S</v>
      </c>
      <c r="D263" s="17" t="str">
        <f>IFERROR(__xludf.DUMMYFUNCTION("XLOOKUP(B263,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63" s="51" t="s">
        <v>125</v>
      </c>
      <c r="F263" s="14">
        <v>9.09</v>
      </c>
      <c r="G263" s="14" t="s">
        <v>252</v>
      </c>
      <c r="H263" s="14"/>
      <c r="I263" s="14" t="s">
        <v>432</v>
      </c>
      <c r="J263" s="14" t="s">
        <v>579</v>
      </c>
      <c r="K263" s="17" t="str">
        <f>IFERROR(__xludf.DUMMYFUNCTION("XLOOKUP(B263,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""-"")"),"adhithyan.it23@bitsathy.ac.in")</f>
        <v>adhithyan.it23@bitsathy.ac.in</v>
      </c>
      <c r="L263" s="21" t="str">
        <f>IFERROR(__xludf.DUMMYFUNCTION("XLOOKUP(B263,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""-"")"),"7397649939")</f>
        <v>7397649939</v>
      </c>
      <c r="M263" s="14" t="s">
        <v>71</v>
      </c>
      <c r="N263" s="14" t="s">
        <v>559</v>
      </c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22"/>
      <c r="AA263" s="22"/>
      <c r="AB263" s="22"/>
      <c r="AC263" s="22"/>
      <c r="AD263" s="22"/>
    </row>
    <row r="264">
      <c r="A264" s="21">
        <v>263.0</v>
      </c>
      <c r="B264" s="32" t="s">
        <v>583</v>
      </c>
      <c r="C264" s="16" t="str">
        <f>IFERROR(__xludf.DUMMYFUNCTION("XLOOKUP(B264,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""-"")"),"THIRUYOHESSHWARRAN K")</f>
        <v>THIRUYOHESSHWARRAN K</v>
      </c>
      <c r="D264" s="17" t="str">
        <f>IFERROR(__xludf.DUMMYFUNCTION("XLOOKUP(B264,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264" s="51" t="s">
        <v>125</v>
      </c>
      <c r="F264" s="14">
        <v>9.09</v>
      </c>
      <c r="G264" s="14" t="s">
        <v>252</v>
      </c>
      <c r="H264" s="14"/>
      <c r="I264" s="14" t="s">
        <v>432</v>
      </c>
      <c r="J264" s="14" t="s">
        <v>579</v>
      </c>
      <c r="K264" s="17" t="str">
        <f>IFERROR(__xludf.DUMMYFUNCTION("XLOOKUP(B264,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""-"")"),"thiruyohesshwarran.it23@bitsathy.ac.in")</f>
        <v>thiruyohesshwarran.it23@bitsathy.ac.in</v>
      </c>
      <c r="L264" s="21" t="str">
        <f>IFERROR(__xludf.DUMMYFUNCTION("XLOOKUP(B264,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""-"")"),"9043763716")</f>
        <v>9043763716</v>
      </c>
      <c r="M264" s="14" t="s">
        <v>71</v>
      </c>
      <c r="N264" s="14" t="s">
        <v>559</v>
      </c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22"/>
      <c r="AA264" s="22"/>
      <c r="AB264" s="22"/>
      <c r="AC264" s="22"/>
      <c r="AD264" s="22"/>
    </row>
    <row r="265">
      <c r="A265" s="21">
        <v>264.0</v>
      </c>
      <c r="B265" s="32" t="s">
        <v>584</v>
      </c>
      <c r="C265" s="16" t="str">
        <f>IFERROR(__xludf.DUMMYFUNCTION("XLOOKUP(B265,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""-"")"),"SOUNDHAR RAJ V")</f>
        <v>SOUNDHAR RAJ V</v>
      </c>
      <c r="D265" s="17" t="str">
        <f>IFERROR(__xludf.DUMMYFUNCTION("XLOOKUP(B265,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265" s="51" t="s">
        <v>125</v>
      </c>
      <c r="F265" s="14">
        <v>7.09</v>
      </c>
      <c r="G265" s="14" t="s">
        <v>252</v>
      </c>
      <c r="H265" s="14"/>
      <c r="I265" s="14" t="s">
        <v>432</v>
      </c>
      <c r="J265" s="14" t="s">
        <v>585</v>
      </c>
      <c r="K265" s="17" t="str">
        <f>IFERROR(__xludf.DUMMYFUNCTION("XLOOKUP(B265,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""-"")"),"soundharraj.ag23@bitsathy.ac.in")</f>
        <v>soundharraj.ag23@bitsathy.ac.in</v>
      </c>
      <c r="L265" s="21" t="str">
        <f>IFERROR(__xludf.DUMMYFUNCTION("XLOOKUP(B265,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""-"")"),"6380831039")</f>
        <v>6380831039</v>
      </c>
      <c r="M265" s="14" t="s">
        <v>71</v>
      </c>
      <c r="N265" s="14" t="s">
        <v>559</v>
      </c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22"/>
      <c r="AA265" s="22"/>
      <c r="AB265" s="22"/>
      <c r="AC265" s="22"/>
      <c r="AD265" s="22"/>
    </row>
    <row r="266">
      <c r="A266" s="21">
        <v>265.0</v>
      </c>
      <c r="B266" s="32" t="s">
        <v>586</v>
      </c>
      <c r="C266" s="16" t="str">
        <f>IFERROR(__xludf.DUMMYFUNCTION("XLOOKUP(B266,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""-"")"),"ASWIN V K")</f>
        <v>ASWIN V K</v>
      </c>
      <c r="D266" s="17" t="str">
        <f>IFERROR(__xludf.DUMMYFUNCTION("XLOOKUP(B266,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66" s="51" t="s">
        <v>125</v>
      </c>
      <c r="F266" s="14">
        <v>7.09</v>
      </c>
      <c r="G266" s="14" t="s">
        <v>252</v>
      </c>
      <c r="H266" s="14"/>
      <c r="I266" s="14" t="s">
        <v>432</v>
      </c>
      <c r="J266" s="14" t="s">
        <v>585</v>
      </c>
      <c r="K266" s="17" t="str">
        <f>IFERROR(__xludf.DUMMYFUNCTION("XLOOKUP(B266,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""-"")"),"aswin.ad23@bitsathy.ac.in")</f>
        <v>aswin.ad23@bitsathy.ac.in</v>
      </c>
      <c r="L266" s="21" t="str">
        <f>IFERROR(__xludf.DUMMYFUNCTION("XLOOKUP(B266,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""-"")"),"9488512807")</f>
        <v>9488512807</v>
      </c>
      <c r="M266" s="14" t="s">
        <v>71</v>
      </c>
      <c r="N266" s="14" t="s">
        <v>559</v>
      </c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22"/>
      <c r="AA266" s="22"/>
      <c r="AB266" s="22"/>
      <c r="AC266" s="22"/>
      <c r="AD266" s="22"/>
    </row>
    <row r="267">
      <c r="A267" s="21">
        <v>266.0</v>
      </c>
      <c r="B267" s="32" t="s">
        <v>587</v>
      </c>
      <c r="C267" s="16" t="str">
        <f>IFERROR(__xludf.DUMMYFUNCTION("XLOOKUP(B267,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""-"")"),"GOBIKA T")</f>
        <v>GOBIKA T</v>
      </c>
      <c r="D267" s="17" t="str">
        <f>IFERROR(__xludf.DUMMYFUNCTION("XLOOKUP(B267,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67" s="51" t="s">
        <v>125</v>
      </c>
      <c r="F267" s="14">
        <v>7.09</v>
      </c>
      <c r="G267" s="14" t="s">
        <v>252</v>
      </c>
      <c r="H267" s="14"/>
      <c r="I267" s="14" t="s">
        <v>432</v>
      </c>
      <c r="J267" s="14" t="s">
        <v>585</v>
      </c>
      <c r="K267" s="17" t="str">
        <f>IFERROR(__xludf.DUMMYFUNCTION("XLOOKUP(B267,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""-"")"),"gobika.ad23@bitsathy.ac.in")</f>
        <v>gobika.ad23@bitsathy.ac.in</v>
      </c>
      <c r="L267" s="21" t="str">
        <f>IFERROR(__xludf.DUMMYFUNCTION("XLOOKUP(B267,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""-"")"),"9994565116")</f>
        <v>9994565116</v>
      </c>
      <c r="M267" s="14" t="s">
        <v>71</v>
      </c>
      <c r="N267" s="14" t="s">
        <v>559</v>
      </c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22"/>
      <c r="AA267" s="22"/>
      <c r="AB267" s="22"/>
      <c r="AC267" s="22"/>
      <c r="AD267" s="22"/>
    </row>
    <row r="268">
      <c r="A268" s="21">
        <v>267.0</v>
      </c>
      <c r="B268" s="32" t="s">
        <v>294</v>
      </c>
      <c r="C268" s="16" t="str">
        <f>IFERROR(__xludf.DUMMYFUNCTION("XLOOKUP(B268,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""-"")"),"ISHWARYA  R")</f>
        <v>ISHWARYA  R</v>
      </c>
      <c r="D268" s="17" t="str">
        <f>IFERROR(__xludf.DUMMYFUNCTION("XLOOKUP(B268,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68" s="51" t="s">
        <v>125</v>
      </c>
      <c r="F268" s="14">
        <v>7.09</v>
      </c>
      <c r="G268" s="14" t="s">
        <v>252</v>
      </c>
      <c r="H268" s="14"/>
      <c r="I268" s="14" t="s">
        <v>432</v>
      </c>
      <c r="J268" s="14" t="s">
        <v>585</v>
      </c>
      <c r="K268" s="17" t="str">
        <f>IFERROR(__xludf.DUMMYFUNCTION("XLOOKUP(B268,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""-"")"),"ishwarya.ad23@bitsathy.ac.in")</f>
        <v>ishwarya.ad23@bitsathy.ac.in</v>
      </c>
      <c r="L268" s="21" t="str">
        <f>IFERROR(__xludf.DUMMYFUNCTION("XLOOKUP(B268,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""-"")"),"9489523948")</f>
        <v>9489523948</v>
      </c>
      <c r="M268" s="14" t="s">
        <v>71</v>
      </c>
      <c r="N268" s="14" t="s">
        <v>559</v>
      </c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22"/>
      <c r="AA268" s="22"/>
      <c r="AB268" s="22"/>
      <c r="AC268" s="22"/>
      <c r="AD268" s="22"/>
    </row>
    <row r="269">
      <c r="A269" s="21">
        <v>268.0</v>
      </c>
      <c r="B269" s="32" t="s">
        <v>588</v>
      </c>
      <c r="C269" s="16" t="str">
        <f>IFERROR(__xludf.DUMMYFUNCTION("XLOOKUP(B269,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""-"")"),"JEYASHREE  B")</f>
        <v>JEYASHREE  B</v>
      </c>
      <c r="D269" s="17" t="str">
        <f>IFERROR(__xludf.DUMMYFUNCTION("XLOOKUP(B269,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69" s="51" t="s">
        <v>125</v>
      </c>
      <c r="F269" s="14">
        <v>7.09</v>
      </c>
      <c r="G269" s="14" t="s">
        <v>252</v>
      </c>
      <c r="H269" s="14"/>
      <c r="I269" s="14" t="s">
        <v>432</v>
      </c>
      <c r="J269" s="14" t="s">
        <v>585</v>
      </c>
      <c r="K269" s="17" t="str">
        <f>IFERROR(__xludf.DUMMYFUNCTION("XLOOKUP(B269,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""-"")"),"jeyashree.ad23@bitsathy.ac.in")</f>
        <v>jeyashree.ad23@bitsathy.ac.in</v>
      </c>
      <c r="L269" s="21" t="str">
        <f>IFERROR(__xludf.DUMMYFUNCTION("XLOOKUP(B269,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""-"")"),"9360353163")</f>
        <v>9360353163</v>
      </c>
      <c r="M269" s="14" t="s">
        <v>71</v>
      </c>
      <c r="N269" s="14" t="s">
        <v>559</v>
      </c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22"/>
      <c r="AA269" s="22"/>
      <c r="AB269" s="22"/>
      <c r="AC269" s="22"/>
      <c r="AD269" s="22"/>
    </row>
    <row r="270">
      <c r="A270" s="21">
        <v>269.0</v>
      </c>
      <c r="B270" s="32" t="s">
        <v>416</v>
      </c>
      <c r="C270" s="16" t="str">
        <f>IFERROR(__xludf.DUMMYFUNCTION("XLOOKUP(B270,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""-"")"),"RAAM KUMAR K R")</f>
        <v>RAAM KUMAR K R</v>
      </c>
      <c r="D270" s="17" t="str">
        <f>IFERROR(__xludf.DUMMYFUNCTION("XLOOKUP(B270,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0" s="51" t="s">
        <v>125</v>
      </c>
      <c r="F270" s="14">
        <v>7.09</v>
      </c>
      <c r="G270" s="14" t="s">
        <v>252</v>
      </c>
      <c r="H270" s="14"/>
      <c r="I270" s="14" t="s">
        <v>432</v>
      </c>
      <c r="J270" s="14" t="s">
        <v>585</v>
      </c>
      <c r="K270" s="17" t="str">
        <f>IFERROR(__xludf.DUMMYFUNCTION("XLOOKUP(B270,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""-"")"),"raamkumar.ad23@bitsathy.ac.in")</f>
        <v>raamkumar.ad23@bitsathy.ac.in</v>
      </c>
      <c r="L270" s="21" t="str">
        <f>IFERROR(__xludf.DUMMYFUNCTION("XLOOKUP(B270,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""-"")"),"7010861104")</f>
        <v>7010861104</v>
      </c>
      <c r="M270" s="14" t="s">
        <v>71</v>
      </c>
      <c r="N270" s="14" t="s">
        <v>559</v>
      </c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22"/>
      <c r="AA270" s="22"/>
      <c r="AB270" s="22"/>
      <c r="AC270" s="22"/>
      <c r="AD270" s="22"/>
    </row>
    <row r="271">
      <c r="A271" s="21">
        <v>270.0</v>
      </c>
      <c r="B271" s="32" t="s">
        <v>589</v>
      </c>
      <c r="C271" s="16" t="str">
        <f>IFERROR(__xludf.DUMMYFUNCTION("XLOOKUP(B271,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""-"")"),"RINDHUJA  C B")</f>
        <v>RINDHUJA  C B</v>
      </c>
      <c r="D271" s="17" t="str">
        <f>IFERROR(__xludf.DUMMYFUNCTION("XLOOKUP(B271,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1" s="51" t="s">
        <v>125</v>
      </c>
      <c r="F271" s="14">
        <v>7.09</v>
      </c>
      <c r="G271" s="14" t="s">
        <v>252</v>
      </c>
      <c r="H271" s="14"/>
      <c r="I271" s="14" t="s">
        <v>432</v>
      </c>
      <c r="J271" s="14" t="s">
        <v>585</v>
      </c>
      <c r="K271" s="17" t="str">
        <f>IFERROR(__xludf.DUMMYFUNCTION("XLOOKUP(B271,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""-"")"),"rindhuja.ad23@bitsathy.ac.in")</f>
        <v>rindhuja.ad23@bitsathy.ac.in</v>
      </c>
      <c r="L271" s="21" t="str">
        <f>IFERROR(__xludf.DUMMYFUNCTION("XLOOKUP(B271,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""-"")"),"7904550428")</f>
        <v>7904550428</v>
      </c>
      <c r="M271" s="14" t="s">
        <v>71</v>
      </c>
      <c r="N271" s="14" t="s">
        <v>559</v>
      </c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22"/>
      <c r="AA271" s="22"/>
      <c r="AB271" s="22"/>
      <c r="AC271" s="22"/>
      <c r="AD271" s="22"/>
    </row>
    <row r="272">
      <c r="A272" s="21">
        <v>271.0</v>
      </c>
      <c r="B272" s="32" t="s">
        <v>590</v>
      </c>
      <c r="C272" s="16" t="str">
        <f>IFERROR(__xludf.DUMMYFUNCTION("XLOOKUP(B272,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""-"")"),"SANJAY M")</f>
        <v>SANJAY M</v>
      </c>
      <c r="D272" s="17" t="str">
        <f>IFERROR(__xludf.DUMMYFUNCTION("XLOOKUP(B272,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2" s="51" t="s">
        <v>125</v>
      </c>
      <c r="F272" s="14">
        <v>7.09</v>
      </c>
      <c r="G272" s="14" t="s">
        <v>252</v>
      </c>
      <c r="H272" s="14"/>
      <c r="I272" s="14" t="s">
        <v>432</v>
      </c>
      <c r="J272" s="14" t="s">
        <v>585</v>
      </c>
      <c r="K272" s="17" t="str">
        <f>IFERROR(__xludf.DUMMYFUNCTION("XLOOKUP(B272,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""-"")"),"sanjay.ad23@bitsathy.ac.in")</f>
        <v>sanjay.ad23@bitsathy.ac.in</v>
      </c>
      <c r="L272" s="21" t="str">
        <f>IFERROR(__xludf.DUMMYFUNCTION("XLOOKUP(B272,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""-"")"),"8248870206")</f>
        <v>8248870206</v>
      </c>
      <c r="M272" s="14" t="s">
        <v>71</v>
      </c>
      <c r="N272" s="14" t="s">
        <v>559</v>
      </c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22"/>
      <c r="AA272" s="22"/>
      <c r="AB272" s="22"/>
      <c r="AC272" s="22"/>
      <c r="AD272" s="22"/>
    </row>
    <row r="273">
      <c r="A273" s="21">
        <v>272.0</v>
      </c>
      <c r="B273" s="32" t="s">
        <v>591</v>
      </c>
      <c r="C273" s="16" t="str">
        <f>IFERROR(__xludf.DUMMYFUNCTION("XLOOKUP(B273,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""-"")"),"SHARVESH G")</f>
        <v>SHARVESH G</v>
      </c>
      <c r="D273" s="17" t="str">
        <f>IFERROR(__xludf.DUMMYFUNCTION("XLOOKUP(B273,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3" s="51" t="s">
        <v>125</v>
      </c>
      <c r="F273" s="14">
        <v>7.09</v>
      </c>
      <c r="G273" s="14" t="s">
        <v>252</v>
      </c>
      <c r="H273" s="14"/>
      <c r="I273" s="14" t="s">
        <v>432</v>
      </c>
      <c r="J273" s="14" t="s">
        <v>585</v>
      </c>
      <c r="K273" s="17" t="str">
        <f>IFERROR(__xludf.DUMMYFUNCTION("XLOOKUP(B273,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""-"")"),"sharveshg.ad23@bitsathy.ac.in")</f>
        <v>sharveshg.ad23@bitsathy.ac.in</v>
      </c>
      <c r="L273" s="21" t="str">
        <f>IFERROR(__xludf.DUMMYFUNCTION("XLOOKUP(B273,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""-"")"),"6379932980")</f>
        <v>6379932980</v>
      </c>
      <c r="M273" s="14" t="s">
        <v>71</v>
      </c>
      <c r="N273" s="14" t="s">
        <v>559</v>
      </c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22"/>
      <c r="AA273" s="22"/>
      <c r="AB273" s="22"/>
      <c r="AC273" s="22"/>
      <c r="AD273" s="22"/>
    </row>
    <row r="274">
      <c r="A274" s="21">
        <v>273.0</v>
      </c>
      <c r="B274" s="32" t="s">
        <v>592</v>
      </c>
      <c r="C274" s="16" t="str">
        <f>IFERROR(__xludf.DUMMYFUNCTION("XLOOKUP(B274,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""-"")"),"SUBASRI R")</f>
        <v>SUBASRI R</v>
      </c>
      <c r="D274" s="17" t="str">
        <f>IFERROR(__xludf.DUMMYFUNCTION("XLOOKUP(B274,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4" s="51" t="s">
        <v>125</v>
      </c>
      <c r="F274" s="14">
        <v>7.09</v>
      </c>
      <c r="G274" s="14" t="s">
        <v>252</v>
      </c>
      <c r="H274" s="14"/>
      <c r="I274" s="14" t="s">
        <v>432</v>
      </c>
      <c r="J274" s="14" t="s">
        <v>585</v>
      </c>
      <c r="K274" s="17" t="str">
        <f>IFERROR(__xludf.DUMMYFUNCTION("XLOOKUP(B274,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""-"")"),"subasri.ad23@bitsathy.ac.in")</f>
        <v>subasri.ad23@bitsathy.ac.in</v>
      </c>
      <c r="L274" s="21" t="str">
        <f>IFERROR(__xludf.DUMMYFUNCTION("XLOOKUP(B274,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""-"")"),"9894751883")</f>
        <v>9894751883</v>
      </c>
      <c r="M274" s="14" t="s">
        <v>71</v>
      </c>
      <c r="N274" s="14" t="s">
        <v>559</v>
      </c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22"/>
      <c r="AA274" s="22"/>
      <c r="AB274" s="22"/>
      <c r="AC274" s="22"/>
      <c r="AD274" s="22"/>
    </row>
    <row r="275">
      <c r="A275" s="21">
        <v>274.0</v>
      </c>
      <c r="B275" s="32" t="s">
        <v>593</v>
      </c>
      <c r="C275" s="16" t="str">
        <f>IFERROR(__xludf.DUMMYFUNCTION("XLOOKUP(B275,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""-"")"),"THAVEEDHU V")</f>
        <v>THAVEEDHU V</v>
      </c>
      <c r="D275" s="17" t="str">
        <f>IFERROR(__xludf.DUMMYFUNCTION("XLOOKUP(B275,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275" s="51" t="s">
        <v>125</v>
      </c>
      <c r="F275" s="14">
        <v>7.09</v>
      </c>
      <c r="G275" s="14" t="s">
        <v>252</v>
      </c>
      <c r="H275" s="14"/>
      <c r="I275" s="14" t="s">
        <v>432</v>
      </c>
      <c r="J275" s="14" t="s">
        <v>594</v>
      </c>
      <c r="K275" s="17" t="str">
        <f>IFERROR(__xludf.DUMMYFUNCTION("XLOOKUP(B275,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""-"")"),"thaveedhuv.ad23@bitsathy.ac.in")</f>
        <v>thaveedhuv.ad23@bitsathy.ac.in</v>
      </c>
      <c r="L275" s="21" t="str">
        <f>IFERROR(__xludf.DUMMYFUNCTION("XLOOKUP(B275,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""-"")"),"9361747610")</f>
        <v>9361747610</v>
      </c>
      <c r="M275" s="14" t="s">
        <v>71</v>
      </c>
      <c r="N275" s="14" t="s">
        <v>559</v>
      </c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22"/>
      <c r="AA275" s="22"/>
      <c r="AB275" s="22"/>
      <c r="AC275" s="22"/>
      <c r="AD275" s="22"/>
    </row>
    <row r="276">
      <c r="A276" s="21">
        <v>275.0</v>
      </c>
      <c r="B276" s="32" t="s">
        <v>595</v>
      </c>
      <c r="C276" s="16" t="str">
        <f>IFERROR(__xludf.DUMMYFUNCTION("XLOOKUP(B276,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""-"")"),"LOHITH NAAGAMITHRAN K")</f>
        <v>LOHITH NAAGAMITHRAN K</v>
      </c>
      <c r="D276" s="17" t="str">
        <f>IFERROR(__xludf.DUMMYFUNCTION("XLOOKUP(B276,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76" s="51" t="s">
        <v>125</v>
      </c>
      <c r="F276" s="14">
        <v>7.09</v>
      </c>
      <c r="G276" s="14" t="s">
        <v>252</v>
      </c>
      <c r="H276" s="14"/>
      <c r="I276" s="14" t="s">
        <v>432</v>
      </c>
      <c r="J276" s="14" t="s">
        <v>585</v>
      </c>
      <c r="K276" s="17" t="str">
        <f>IFERROR(__xludf.DUMMYFUNCTION("XLOOKUP(B276,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""-"")"),"lohithnaagamithran.al23@bitsathy.ac.in")</f>
        <v>lohithnaagamithran.al23@bitsathy.ac.in</v>
      </c>
      <c r="L276" s="21" t="str">
        <f>IFERROR(__xludf.DUMMYFUNCTION("XLOOKUP(B276,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""-"")"),"8667736581")</f>
        <v>8667736581</v>
      </c>
      <c r="M276" s="14" t="s">
        <v>71</v>
      </c>
      <c r="N276" s="14" t="s">
        <v>559</v>
      </c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22"/>
      <c r="AA276" s="22"/>
      <c r="AB276" s="22"/>
      <c r="AC276" s="22"/>
      <c r="AD276" s="22"/>
    </row>
    <row r="277">
      <c r="A277" s="21">
        <v>276.0</v>
      </c>
      <c r="B277" s="32" t="s">
        <v>596</v>
      </c>
      <c r="C277" s="16" t="str">
        <f>IFERROR(__xludf.DUMMYFUNCTION("XLOOKUP(B277,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""-"")"),"NEGASHREE S")</f>
        <v>NEGASHREE S</v>
      </c>
      <c r="D277" s="17" t="str">
        <f>IFERROR(__xludf.DUMMYFUNCTION("XLOOKUP(B277,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77" s="51" t="s">
        <v>125</v>
      </c>
      <c r="F277" s="14">
        <v>7.09</v>
      </c>
      <c r="G277" s="14" t="s">
        <v>252</v>
      </c>
      <c r="H277" s="14"/>
      <c r="I277" s="14" t="s">
        <v>432</v>
      </c>
      <c r="J277" s="14" t="s">
        <v>585</v>
      </c>
      <c r="K277" s="17" t="str">
        <f>IFERROR(__xludf.DUMMYFUNCTION("XLOOKUP(B277,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""-"")"),"negashree.al23@bitsathy.ac.in")</f>
        <v>negashree.al23@bitsathy.ac.in</v>
      </c>
      <c r="L277" s="21" t="str">
        <f>IFERROR(__xludf.DUMMYFUNCTION("XLOOKUP(B277,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""-"")"),"6382913381")</f>
        <v>6382913381</v>
      </c>
      <c r="M277" s="14" t="s">
        <v>71</v>
      </c>
      <c r="N277" s="14" t="s">
        <v>559</v>
      </c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22"/>
      <c r="AA277" s="22"/>
      <c r="AB277" s="22"/>
      <c r="AC277" s="22"/>
      <c r="AD277" s="22"/>
    </row>
    <row r="278">
      <c r="A278" s="21">
        <v>277.0</v>
      </c>
      <c r="B278" s="32" t="s">
        <v>597</v>
      </c>
      <c r="C278" s="16" t="str">
        <f>IFERROR(__xludf.DUMMYFUNCTION("XLOOKUP(B278,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""-"")"),"SANJAY KUMAR S")</f>
        <v>SANJAY KUMAR S</v>
      </c>
      <c r="D278" s="17" t="str">
        <f>IFERROR(__xludf.DUMMYFUNCTION("XLOOKUP(B278,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78" s="51" t="s">
        <v>125</v>
      </c>
      <c r="F278" s="14">
        <v>7.09</v>
      </c>
      <c r="G278" s="14" t="s">
        <v>252</v>
      </c>
      <c r="H278" s="14"/>
      <c r="I278" s="14" t="s">
        <v>432</v>
      </c>
      <c r="J278" s="14" t="s">
        <v>585</v>
      </c>
      <c r="K278" s="17" t="str">
        <f>IFERROR(__xludf.DUMMYFUNCTION("XLOOKUP(B278,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""-"")"),"sanjaykumar.al23@bitsathy.ac.in")</f>
        <v>sanjaykumar.al23@bitsathy.ac.in</v>
      </c>
      <c r="L278" s="21" t="str">
        <f>IFERROR(__xludf.DUMMYFUNCTION("XLOOKUP(B278,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""-"")"),"7806897588")</f>
        <v>7806897588</v>
      </c>
      <c r="M278" s="14" t="s">
        <v>71</v>
      </c>
      <c r="N278" s="14" t="s">
        <v>559</v>
      </c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22"/>
      <c r="AA278" s="22"/>
      <c r="AB278" s="22"/>
      <c r="AC278" s="22"/>
      <c r="AD278" s="22"/>
    </row>
    <row r="279">
      <c r="A279" s="21">
        <v>278.0</v>
      </c>
      <c r="B279" s="32" t="s">
        <v>598</v>
      </c>
      <c r="C279" s="16" t="str">
        <f>IFERROR(__xludf.DUMMYFUNCTION("XLOOKUP(B279,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""-"")"),"SENTHILKUMAR  K S")</f>
        <v>SENTHILKUMAR  K S</v>
      </c>
      <c r="D279" s="17" t="str">
        <f>IFERROR(__xludf.DUMMYFUNCTION("XLOOKUP(B279,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79" s="51" t="s">
        <v>125</v>
      </c>
      <c r="F279" s="14">
        <v>7.09</v>
      </c>
      <c r="G279" s="14" t="s">
        <v>252</v>
      </c>
      <c r="H279" s="14"/>
      <c r="I279" s="14" t="s">
        <v>432</v>
      </c>
      <c r="J279" s="14" t="s">
        <v>585</v>
      </c>
      <c r="K279" s="17" t="str">
        <f>IFERROR(__xludf.DUMMYFUNCTION("XLOOKUP(B279,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""-"")"),"senthilkumar.al23@bitsathy.ac.in")</f>
        <v>senthilkumar.al23@bitsathy.ac.in</v>
      </c>
      <c r="L279" s="21" t="str">
        <f>IFERROR(__xludf.DUMMYFUNCTION("XLOOKUP(B279,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""-"")"),"9345571570")</f>
        <v>9345571570</v>
      </c>
      <c r="M279" s="14" t="s">
        <v>71</v>
      </c>
      <c r="N279" s="14" t="s">
        <v>559</v>
      </c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22"/>
      <c r="AA279" s="22"/>
      <c r="AB279" s="22"/>
      <c r="AC279" s="22"/>
      <c r="AD279" s="22"/>
    </row>
    <row r="280">
      <c r="A280" s="21">
        <v>279.0</v>
      </c>
      <c r="B280" s="32" t="s">
        <v>599</v>
      </c>
      <c r="C280" s="16" t="str">
        <f>IFERROR(__xludf.DUMMYFUNCTION("XLOOKUP(B280,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""-"")"),"SUBIKSHA S K")</f>
        <v>SUBIKSHA S K</v>
      </c>
      <c r="D280" s="17" t="str">
        <f>IFERROR(__xludf.DUMMYFUNCTION("XLOOKUP(B280,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280" s="51" t="s">
        <v>125</v>
      </c>
      <c r="F280" s="14">
        <v>7.09</v>
      </c>
      <c r="G280" s="14" t="s">
        <v>252</v>
      </c>
      <c r="H280" s="14"/>
      <c r="I280" s="14" t="s">
        <v>432</v>
      </c>
      <c r="J280" s="14" t="s">
        <v>585</v>
      </c>
      <c r="K280" s="17" t="str">
        <f>IFERROR(__xludf.DUMMYFUNCTION("XLOOKUP(B280,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""-"")"),"subiksha.al23@bitsathy.ac.in")</f>
        <v>subiksha.al23@bitsathy.ac.in</v>
      </c>
      <c r="L280" s="21" t="str">
        <f>IFERROR(__xludf.DUMMYFUNCTION("XLOOKUP(B280,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""-"")"),"8838867064")</f>
        <v>8838867064</v>
      </c>
      <c r="M280" s="14" t="s">
        <v>71</v>
      </c>
      <c r="N280" s="14" t="s">
        <v>559</v>
      </c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22"/>
      <c r="AA280" s="22"/>
      <c r="AB280" s="22"/>
      <c r="AC280" s="22"/>
      <c r="AD280" s="22"/>
    </row>
    <row r="281">
      <c r="A281" s="21">
        <v>280.0</v>
      </c>
      <c r="B281" s="32" t="s">
        <v>600</v>
      </c>
      <c r="C281" s="16" t="str">
        <f>IFERROR(__xludf.DUMMYFUNCTION("XLOOKUP(B281,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""-"")"),"PRASANNA S")</f>
        <v>PRASANNA S</v>
      </c>
      <c r="D281" s="17" t="str">
        <f>IFERROR(__xludf.DUMMYFUNCTION("XLOOKUP(B281,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281" s="51" t="s">
        <v>125</v>
      </c>
      <c r="F281" s="14">
        <v>7.09</v>
      </c>
      <c r="G281" s="14" t="s">
        <v>252</v>
      </c>
      <c r="H281" s="14"/>
      <c r="I281" s="14" t="s">
        <v>432</v>
      </c>
      <c r="J281" s="14" t="s">
        <v>585</v>
      </c>
      <c r="K281" s="17" t="str">
        <f>IFERROR(__xludf.DUMMYFUNCTION("XLOOKUP(B281,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""-"")"),"prasanna.bm23@bitsathy.ac.in")</f>
        <v>prasanna.bm23@bitsathy.ac.in</v>
      </c>
      <c r="L281" s="21" t="str">
        <f>IFERROR(__xludf.DUMMYFUNCTION("XLOOKUP(B281,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""-"")"),"9003466814")</f>
        <v>9003466814</v>
      </c>
      <c r="M281" s="14" t="s">
        <v>71</v>
      </c>
      <c r="N281" s="14" t="s">
        <v>559</v>
      </c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22"/>
      <c r="AA281" s="22"/>
      <c r="AB281" s="22"/>
      <c r="AC281" s="22"/>
      <c r="AD281" s="22"/>
    </row>
    <row r="282">
      <c r="A282" s="21">
        <v>281.0</v>
      </c>
      <c r="B282" s="32" t="s">
        <v>601</v>
      </c>
      <c r="C282" s="16" t="str">
        <f>IFERROR(__xludf.DUMMYFUNCTION("XLOOKUP(B282,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""-"")"),"DANUSREE K")</f>
        <v>DANUSREE K</v>
      </c>
      <c r="D282" s="17" t="str">
        <f>IFERROR(__xludf.DUMMYFUNCTION("XLOOKUP(B282,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2" s="51" t="s">
        <v>125</v>
      </c>
      <c r="F282" s="14">
        <v>7.09</v>
      </c>
      <c r="G282" s="14" t="s">
        <v>252</v>
      </c>
      <c r="H282" s="14"/>
      <c r="I282" s="14" t="s">
        <v>432</v>
      </c>
      <c r="J282" s="14" t="s">
        <v>585</v>
      </c>
      <c r="K282" s="17" t="str">
        <f>IFERROR(__xludf.DUMMYFUNCTION("XLOOKUP(B282,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""-"")"),"danusree.cb23@bitsathy.ac.in")</f>
        <v>danusree.cb23@bitsathy.ac.in</v>
      </c>
      <c r="L282" s="21" t="str">
        <f>IFERROR(__xludf.DUMMYFUNCTION("XLOOKUP(B282,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""-"")"),"9345534544")</f>
        <v>9345534544</v>
      </c>
      <c r="M282" s="14" t="s">
        <v>71</v>
      </c>
      <c r="N282" s="14" t="s">
        <v>559</v>
      </c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22"/>
      <c r="AA282" s="22"/>
      <c r="AB282" s="22"/>
      <c r="AC282" s="22"/>
      <c r="AD282" s="22"/>
    </row>
    <row r="283">
      <c r="A283" s="21">
        <v>282.0</v>
      </c>
      <c r="B283" s="32" t="s">
        <v>602</v>
      </c>
      <c r="C283" s="16" t="str">
        <f>IFERROR(__xludf.DUMMYFUNCTION("XLOOKUP(B283,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 HARA SUDHAN N")</f>
        <v>HARI HARA SUDHAN N</v>
      </c>
      <c r="D283" s="17" t="str">
        <f>IFERROR(__xludf.DUMMYFUNCTION("XLOOKUP(B283,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3" s="51" t="s">
        <v>125</v>
      </c>
      <c r="F283" s="14">
        <v>7.09</v>
      </c>
      <c r="G283" s="14" t="s">
        <v>252</v>
      </c>
      <c r="H283" s="14"/>
      <c r="I283" s="14" t="s">
        <v>432</v>
      </c>
      <c r="J283" s="14" t="s">
        <v>585</v>
      </c>
      <c r="K283" s="17" t="str">
        <f>IFERROR(__xludf.DUMMYFUNCTION("XLOOKUP(B283,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""-"")"),"hariharasudhan.cb23@bitsathy.ac.in")</f>
        <v>hariharasudhan.cb23@bitsathy.ac.in</v>
      </c>
      <c r="L283" s="21" t="str">
        <f>IFERROR(__xludf.DUMMYFUNCTION("XLOOKUP(B283,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""-"")"),"8870731577")</f>
        <v>8870731577</v>
      </c>
      <c r="M283" s="14" t="s">
        <v>71</v>
      </c>
      <c r="N283" s="14" t="s">
        <v>559</v>
      </c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22"/>
      <c r="AA283" s="22"/>
      <c r="AB283" s="22"/>
      <c r="AC283" s="22"/>
      <c r="AD283" s="22"/>
    </row>
    <row r="284">
      <c r="A284" s="21">
        <v>283.0</v>
      </c>
      <c r="B284" s="32" t="s">
        <v>603</v>
      </c>
      <c r="C284" s="16" t="str">
        <f>IFERROR(__xludf.DUMMYFUNCTION("XLOOKUP(B284,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""-"")"),"KAVIPRIYA P")</f>
        <v>KAVIPRIYA P</v>
      </c>
      <c r="D284" s="17" t="str">
        <f>IFERROR(__xludf.DUMMYFUNCTION("XLOOKUP(B284,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4" s="51" t="s">
        <v>125</v>
      </c>
      <c r="F284" s="14">
        <v>7.09</v>
      </c>
      <c r="G284" s="14" t="s">
        <v>252</v>
      </c>
      <c r="H284" s="14"/>
      <c r="I284" s="14" t="s">
        <v>432</v>
      </c>
      <c r="J284" s="14" t="s">
        <v>585</v>
      </c>
      <c r="K284" s="17" t="str">
        <f>IFERROR(__xludf.DUMMYFUNCTION("XLOOKUP(B284,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""-"")"),"kavipriya.cb23@bitsathy.ac.in")</f>
        <v>kavipriya.cb23@bitsathy.ac.in</v>
      </c>
      <c r="L284" s="21" t="str">
        <f>IFERROR(__xludf.DUMMYFUNCTION("XLOOKUP(B284,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""-"")"),"9585822642")</f>
        <v>9585822642</v>
      </c>
      <c r="M284" s="14" t="s">
        <v>71</v>
      </c>
      <c r="N284" s="14" t="s">
        <v>559</v>
      </c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22"/>
      <c r="AA284" s="22"/>
      <c r="AB284" s="22"/>
      <c r="AC284" s="22"/>
      <c r="AD284" s="22"/>
    </row>
    <row r="285">
      <c r="A285" s="21">
        <v>284.0</v>
      </c>
      <c r="B285" s="32" t="s">
        <v>604</v>
      </c>
      <c r="C285" s="16" t="str">
        <f>IFERROR(__xludf.DUMMYFUNCTION("XLOOKUP(B285,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""-"")"),"PEER SHEIK ABDULLAH MOHD NOORDEEN")</f>
        <v>PEER SHEIK ABDULLAH MOHD NOORDEEN</v>
      </c>
      <c r="D285" s="17" t="str">
        <f>IFERROR(__xludf.DUMMYFUNCTION("XLOOKUP(B285,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5" s="51" t="s">
        <v>125</v>
      </c>
      <c r="F285" s="14">
        <v>7.09</v>
      </c>
      <c r="G285" s="14" t="s">
        <v>252</v>
      </c>
      <c r="H285" s="14"/>
      <c r="I285" s="14" t="s">
        <v>432</v>
      </c>
      <c r="J285" s="14" t="s">
        <v>585</v>
      </c>
      <c r="K285" s="17" t="str">
        <f>IFERROR(__xludf.DUMMYFUNCTION("XLOOKUP(B285,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""-"")"),"peersheikabdullah.cb23@bitsathy.ac.in")</f>
        <v>peersheikabdullah.cb23@bitsathy.ac.in</v>
      </c>
      <c r="L285" s="21" t="str">
        <f>IFERROR(__xludf.DUMMYFUNCTION("XLOOKUP(B285,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""-"")"),"9384753881")</f>
        <v>9384753881</v>
      </c>
      <c r="M285" s="14" t="s">
        <v>71</v>
      </c>
      <c r="N285" s="14" t="s">
        <v>559</v>
      </c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22"/>
      <c r="AA285" s="22"/>
      <c r="AB285" s="22"/>
      <c r="AC285" s="22"/>
      <c r="AD285" s="22"/>
    </row>
    <row r="286">
      <c r="A286" s="21">
        <v>285.0</v>
      </c>
      <c r="B286" s="32" t="s">
        <v>605</v>
      </c>
      <c r="C286" s="16" t="str">
        <f>IFERROR(__xludf.DUMMYFUNCTION("XLOOKUP(B286,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""-"")"),"SACHIN SURESH")</f>
        <v>SACHIN SURESH</v>
      </c>
      <c r="D286" s="17" t="str">
        <f>IFERROR(__xludf.DUMMYFUNCTION("XLOOKUP(B286,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6" s="51" t="s">
        <v>125</v>
      </c>
      <c r="F286" s="14">
        <v>7.09</v>
      </c>
      <c r="G286" s="14" t="s">
        <v>252</v>
      </c>
      <c r="H286" s="14"/>
      <c r="I286" s="14" t="s">
        <v>432</v>
      </c>
      <c r="J286" s="14" t="s">
        <v>585</v>
      </c>
      <c r="K286" s="17" t="str">
        <f>IFERROR(__xludf.DUMMYFUNCTION("XLOOKUP(B286,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""-"")"),"sachinsuresh.cb23@bitsathy.ac.in")</f>
        <v>sachinsuresh.cb23@bitsathy.ac.in</v>
      </c>
      <c r="L286" s="21" t="str">
        <f>IFERROR(__xludf.DUMMYFUNCTION("XLOOKUP(B286,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""-"")"),"9489773856")</f>
        <v>9489773856</v>
      </c>
      <c r="M286" s="14" t="s">
        <v>71</v>
      </c>
      <c r="N286" s="14" t="s">
        <v>559</v>
      </c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22"/>
      <c r="AA286" s="22"/>
      <c r="AB286" s="22"/>
      <c r="AC286" s="22"/>
      <c r="AD286" s="22"/>
    </row>
    <row r="287">
      <c r="A287" s="21">
        <v>286.0</v>
      </c>
      <c r="B287" s="32" t="s">
        <v>606</v>
      </c>
      <c r="C287" s="16" t="str">
        <f>IFERROR(__xludf.DUMMYFUNCTION("XLOOKUP(B287,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""-"")"),"SANJITH S")</f>
        <v>SANJITH S</v>
      </c>
      <c r="D287" s="17" t="str">
        <f>IFERROR(__xludf.DUMMYFUNCTION("XLOOKUP(B287,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7" s="51" t="s">
        <v>125</v>
      </c>
      <c r="F287" s="14">
        <v>7.09</v>
      </c>
      <c r="G287" s="14" t="s">
        <v>252</v>
      </c>
      <c r="H287" s="14"/>
      <c r="I287" s="14" t="s">
        <v>432</v>
      </c>
      <c r="J287" s="14" t="s">
        <v>585</v>
      </c>
      <c r="K287" s="17" t="str">
        <f>IFERROR(__xludf.DUMMYFUNCTION("XLOOKUP(B287,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""-"")"),"sanjith.cb23@bitsathy.ac.in")</f>
        <v>sanjith.cb23@bitsathy.ac.in</v>
      </c>
      <c r="L287" s="21" t="str">
        <f>IFERROR(__xludf.DUMMYFUNCTION("XLOOKUP(B287,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""-"")"),"7010060182")</f>
        <v>7010060182</v>
      </c>
      <c r="M287" s="14" t="s">
        <v>71</v>
      </c>
      <c r="N287" s="14" t="s">
        <v>559</v>
      </c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22"/>
      <c r="AA287" s="22"/>
      <c r="AB287" s="22"/>
      <c r="AC287" s="22"/>
      <c r="AD287" s="22"/>
    </row>
    <row r="288">
      <c r="A288" s="21">
        <v>287.0</v>
      </c>
      <c r="B288" s="32" t="s">
        <v>563</v>
      </c>
      <c r="C288" s="16" t="str">
        <f>IFERROR(__xludf.DUMMYFUNCTION("XLOOKUP(B288,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""-"")"),"SRUTHI SAMRUDA D")</f>
        <v>SRUTHI SAMRUDA D</v>
      </c>
      <c r="D288" s="17" t="str">
        <f>IFERROR(__xludf.DUMMYFUNCTION("XLOOKUP(B288,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8" s="51" t="s">
        <v>125</v>
      </c>
      <c r="F288" s="14">
        <v>7.09</v>
      </c>
      <c r="G288" s="14" t="s">
        <v>252</v>
      </c>
      <c r="H288" s="14"/>
      <c r="I288" s="14" t="s">
        <v>432</v>
      </c>
      <c r="J288" s="14" t="s">
        <v>585</v>
      </c>
      <c r="K288" s="17" t="str">
        <f>IFERROR(__xludf.DUMMYFUNCTION("XLOOKUP(B288,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""-"")"),"sruthisamruda.cb23@bitsathy.ac.in")</f>
        <v>sruthisamruda.cb23@bitsathy.ac.in</v>
      </c>
      <c r="L288" s="21" t="str">
        <f>IFERROR(__xludf.DUMMYFUNCTION("XLOOKUP(B288,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""-"")"),"9360392154")</f>
        <v>9360392154</v>
      </c>
      <c r="M288" s="14" t="s">
        <v>71</v>
      </c>
      <c r="N288" s="14" t="s">
        <v>559</v>
      </c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22"/>
      <c r="AA288" s="22"/>
      <c r="AB288" s="22"/>
      <c r="AC288" s="22"/>
      <c r="AD288" s="22"/>
    </row>
    <row r="289">
      <c r="A289" s="21">
        <v>288.0</v>
      </c>
      <c r="B289" s="32" t="s">
        <v>607</v>
      </c>
      <c r="C289" s="16" t="str">
        <f>IFERROR(__xludf.DUMMYFUNCTION("XLOOKUP(B289,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""-"")"),"SUBIKSHA R")</f>
        <v>SUBIKSHA R</v>
      </c>
      <c r="D289" s="17" t="str">
        <f>IFERROR(__xludf.DUMMYFUNCTION("XLOOKUP(B289,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89" s="51" t="s">
        <v>125</v>
      </c>
      <c r="F289" s="14">
        <v>7.09</v>
      </c>
      <c r="G289" s="14" t="s">
        <v>252</v>
      </c>
      <c r="H289" s="14"/>
      <c r="I289" s="14" t="s">
        <v>432</v>
      </c>
      <c r="J289" s="14" t="s">
        <v>585</v>
      </c>
      <c r="K289" s="17" t="str">
        <f>IFERROR(__xludf.DUMMYFUNCTION("XLOOKUP(B289,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""-"")"),"subiksha.cb23@bitsathy.ac.in")</f>
        <v>subiksha.cb23@bitsathy.ac.in</v>
      </c>
      <c r="L289" s="21" t="str">
        <f>IFERROR(__xludf.DUMMYFUNCTION("XLOOKUP(B289,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""-"")"),"9363637686")</f>
        <v>9363637686</v>
      </c>
      <c r="M289" s="14" t="s">
        <v>71</v>
      </c>
      <c r="N289" s="14" t="s">
        <v>559</v>
      </c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22"/>
      <c r="AA289" s="22"/>
      <c r="AB289" s="22"/>
      <c r="AC289" s="22"/>
      <c r="AD289" s="22"/>
    </row>
    <row r="290">
      <c r="A290" s="21">
        <v>289.0</v>
      </c>
      <c r="B290" s="32" t="s">
        <v>608</v>
      </c>
      <c r="C290" s="16" t="str">
        <f>IFERROR(__xludf.DUMMYFUNCTION("XLOOKUP(B290,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""-"")"),"SUDHARSHANA M K")</f>
        <v>SUDHARSHANA M K</v>
      </c>
      <c r="D290" s="17" t="str">
        <f>IFERROR(__xludf.DUMMYFUNCTION("XLOOKUP(B290,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290" s="51" t="s">
        <v>125</v>
      </c>
      <c r="F290" s="14">
        <v>7.09</v>
      </c>
      <c r="G290" s="14" t="s">
        <v>252</v>
      </c>
      <c r="H290" s="14"/>
      <c r="I290" s="14" t="s">
        <v>432</v>
      </c>
      <c r="J290" s="14" t="s">
        <v>585</v>
      </c>
      <c r="K290" s="17" t="str">
        <f>IFERROR(__xludf.DUMMYFUNCTION("XLOOKUP(B290,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""-"")"),"sudharshana.cb23@bitsathy.ac.in")</f>
        <v>sudharshana.cb23@bitsathy.ac.in</v>
      </c>
      <c r="L290" s="21" t="str">
        <f>IFERROR(__xludf.DUMMYFUNCTION("XLOOKUP(B290,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""-"")"),"8248932487")</f>
        <v>8248932487</v>
      </c>
      <c r="M290" s="14" t="s">
        <v>71</v>
      </c>
      <c r="N290" s="14" t="s">
        <v>559</v>
      </c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22"/>
      <c r="AA290" s="22"/>
      <c r="AB290" s="22"/>
      <c r="AC290" s="22"/>
      <c r="AD290" s="22"/>
    </row>
    <row r="291">
      <c r="A291" s="21">
        <v>290.0</v>
      </c>
      <c r="B291" s="32" t="s">
        <v>609</v>
      </c>
      <c r="C291" s="16" t="str">
        <f>IFERROR(__xludf.DUMMYFUNCTION("XLOOKUP(B291,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""-"")"),"AREYA K S")</f>
        <v>AREYA K S</v>
      </c>
      <c r="D291" s="17" t="str">
        <f>IFERROR(__xludf.DUMMYFUNCTION("XLOOKUP(B291,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91" s="51" t="s">
        <v>125</v>
      </c>
      <c r="F291" s="14">
        <v>7.09</v>
      </c>
      <c r="G291" s="14" t="s">
        <v>252</v>
      </c>
      <c r="H291" s="14"/>
      <c r="I291" s="14" t="s">
        <v>432</v>
      </c>
      <c r="J291" s="14" t="s">
        <v>585</v>
      </c>
      <c r="K291" s="17" t="str">
        <f>IFERROR(__xludf.DUMMYFUNCTION("XLOOKUP(B291,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""-"")"),"areya.cd23@bitsathy.ac.in")</f>
        <v>areya.cd23@bitsathy.ac.in</v>
      </c>
      <c r="L291" s="21" t="str">
        <f>IFERROR(__xludf.DUMMYFUNCTION("XLOOKUP(B291,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""-"")"),"6381709062")</f>
        <v>6381709062</v>
      </c>
      <c r="M291" s="14" t="s">
        <v>71</v>
      </c>
      <c r="N291" s="14" t="s">
        <v>559</v>
      </c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22"/>
      <c r="AA291" s="22"/>
      <c r="AB291" s="22"/>
      <c r="AC291" s="22"/>
      <c r="AD291" s="22"/>
    </row>
    <row r="292">
      <c r="A292" s="21">
        <v>291.0</v>
      </c>
      <c r="B292" s="32" t="s">
        <v>610</v>
      </c>
      <c r="C292" s="16" t="str">
        <f>IFERROR(__xludf.DUMMYFUNCTION("XLOOKUP(B292,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 RITIHA  M")</f>
        <v>DHARANI RITIHA  M</v>
      </c>
      <c r="D292" s="17" t="str">
        <f>IFERROR(__xludf.DUMMYFUNCTION("XLOOKUP(B292,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92" s="51" t="s">
        <v>125</v>
      </c>
      <c r="F292" s="14">
        <v>7.09</v>
      </c>
      <c r="G292" s="14" t="s">
        <v>252</v>
      </c>
      <c r="H292" s="14"/>
      <c r="I292" s="14" t="s">
        <v>432</v>
      </c>
      <c r="J292" s="14" t="s">
        <v>585</v>
      </c>
      <c r="K292" s="17" t="str">
        <f>IFERROR(__xludf.DUMMYFUNCTION("XLOOKUP(B292,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""-"")"),"dharaniritiha.cd23@bitsathy.ac.in")</f>
        <v>dharaniritiha.cd23@bitsathy.ac.in</v>
      </c>
      <c r="L292" s="21" t="str">
        <f>IFERROR(__xludf.DUMMYFUNCTION("XLOOKUP(B292,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""-"")"),"8838816038")</f>
        <v>8838816038</v>
      </c>
      <c r="M292" s="14" t="s">
        <v>71</v>
      </c>
      <c r="N292" s="14" t="s">
        <v>559</v>
      </c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22"/>
      <c r="AA292" s="22"/>
      <c r="AB292" s="22"/>
      <c r="AC292" s="22"/>
      <c r="AD292" s="22"/>
    </row>
    <row r="293">
      <c r="A293" s="21">
        <v>292.0</v>
      </c>
      <c r="B293" s="32" t="s">
        <v>611</v>
      </c>
      <c r="C293" s="16" t="str">
        <f>IFERROR(__xludf.DUMMYFUNCTION("XLOOKUP(B293,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""-"")"),"MURALIDHARAN R")</f>
        <v>MURALIDHARAN R</v>
      </c>
      <c r="D293" s="17" t="str">
        <f>IFERROR(__xludf.DUMMYFUNCTION("XLOOKUP(B293,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93" s="51" t="s">
        <v>125</v>
      </c>
      <c r="F293" s="14">
        <v>7.09</v>
      </c>
      <c r="G293" s="14" t="s">
        <v>252</v>
      </c>
      <c r="H293" s="14"/>
      <c r="I293" s="14" t="s">
        <v>432</v>
      </c>
      <c r="J293" s="14" t="s">
        <v>585</v>
      </c>
      <c r="K293" s="17" t="str">
        <f>IFERROR(__xludf.DUMMYFUNCTION("XLOOKUP(B293,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""-"")"),"muralidharan.cd23@bitsathy.ac.in")</f>
        <v>muralidharan.cd23@bitsathy.ac.in</v>
      </c>
      <c r="L293" s="21" t="str">
        <f>IFERROR(__xludf.DUMMYFUNCTION("XLOOKUP(B293,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""-"")"),"9600295914")</f>
        <v>9600295914</v>
      </c>
      <c r="M293" s="14" t="s">
        <v>71</v>
      </c>
      <c r="N293" s="14" t="s">
        <v>559</v>
      </c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22"/>
      <c r="AA293" s="22"/>
      <c r="AB293" s="22"/>
      <c r="AC293" s="22"/>
      <c r="AD293" s="22"/>
    </row>
    <row r="294">
      <c r="A294" s="21">
        <v>293.0</v>
      </c>
      <c r="B294" s="32" t="s">
        <v>612</v>
      </c>
      <c r="C294" s="16" t="str">
        <f>IFERROR(__xludf.DUMMYFUNCTION("XLOOKUP(B294,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VARSHAN M")</f>
        <v>SRI VARSHAN M</v>
      </c>
      <c r="D294" s="17" t="str">
        <f>IFERROR(__xludf.DUMMYFUNCTION("XLOOKUP(B294,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294" s="51" t="s">
        <v>125</v>
      </c>
      <c r="F294" s="14">
        <v>7.09</v>
      </c>
      <c r="G294" s="14" t="s">
        <v>252</v>
      </c>
      <c r="H294" s="14"/>
      <c r="I294" s="14" t="s">
        <v>432</v>
      </c>
      <c r="J294" s="14" t="s">
        <v>585</v>
      </c>
      <c r="K294" s="17" t="str">
        <f>IFERROR(__xludf.DUMMYFUNCTION("XLOOKUP(B294,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""-"")"),"srivarshan.cd23@bitsathy.ac.in")</f>
        <v>srivarshan.cd23@bitsathy.ac.in</v>
      </c>
      <c r="L294" s="21" t="str">
        <f>IFERROR(__xludf.DUMMYFUNCTION("XLOOKUP(B294,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""-"")"),"9342554282")</f>
        <v>9342554282</v>
      </c>
      <c r="M294" s="14" t="s">
        <v>71</v>
      </c>
      <c r="N294" s="14" t="s">
        <v>559</v>
      </c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22"/>
      <c r="AA294" s="22"/>
      <c r="AB294" s="22"/>
      <c r="AC294" s="22"/>
      <c r="AD294" s="22"/>
    </row>
    <row r="295">
      <c r="A295" s="21">
        <v>294.0</v>
      </c>
      <c r="B295" s="32" t="s">
        <v>613</v>
      </c>
      <c r="C295" s="16" t="str">
        <f>IFERROR(__xludf.DUMMYFUNCTION("XLOOKUP(B295,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""-"")"),"DHARNISH  P")</f>
        <v>DHARNISH  P</v>
      </c>
      <c r="D295" s="17" t="str">
        <f>IFERROR(__xludf.DUMMYFUNCTION("XLOOKUP(B295,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95" s="51" t="s">
        <v>125</v>
      </c>
      <c r="F295" s="14">
        <v>7.09</v>
      </c>
      <c r="G295" s="14" t="s">
        <v>252</v>
      </c>
      <c r="H295" s="14"/>
      <c r="I295" s="14" t="s">
        <v>432</v>
      </c>
      <c r="J295" s="14" t="s">
        <v>585</v>
      </c>
      <c r="K295" s="17" t="str">
        <f>IFERROR(__xludf.DUMMYFUNCTION("XLOOKUP(B295,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""-"")"),"dharnish.cs23@bitsathy.ac.in")</f>
        <v>dharnish.cs23@bitsathy.ac.in</v>
      </c>
      <c r="L295" s="21" t="str">
        <f>IFERROR(__xludf.DUMMYFUNCTION("XLOOKUP(B295,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""-"")"),"9597650817")</f>
        <v>9597650817</v>
      </c>
      <c r="M295" s="14" t="s">
        <v>71</v>
      </c>
      <c r="N295" s="14" t="s">
        <v>559</v>
      </c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22"/>
      <c r="AA295" s="22"/>
      <c r="AB295" s="22"/>
      <c r="AC295" s="22"/>
      <c r="AD295" s="22"/>
    </row>
    <row r="296">
      <c r="A296" s="21">
        <v>295.0</v>
      </c>
      <c r="B296" s="32" t="s">
        <v>614</v>
      </c>
      <c r="C296" s="16" t="str">
        <f>IFERROR(__xludf.DUMMYFUNCTION("XLOOKUP(B296,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""-"")"),"DHARUN KUMAR R")</f>
        <v>DHARUN KUMAR R</v>
      </c>
      <c r="D296" s="17" t="str">
        <f>IFERROR(__xludf.DUMMYFUNCTION("XLOOKUP(B296,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96" s="51" t="s">
        <v>125</v>
      </c>
      <c r="F296" s="14">
        <v>7.09</v>
      </c>
      <c r="G296" s="14" t="s">
        <v>252</v>
      </c>
      <c r="H296" s="14"/>
      <c r="I296" s="14" t="s">
        <v>432</v>
      </c>
      <c r="J296" s="14" t="s">
        <v>585</v>
      </c>
      <c r="K296" s="17" t="str">
        <f>IFERROR(__xludf.DUMMYFUNCTION("XLOOKUP(B296,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""-"")"),"dharunkumar.cs23@bitsathy.ac.in")</f>
        <v>dharunkumar.cs23@bitsathy.ac.in</v>
      </c>
      <c r="L296" s="21" t="str">
        <f>IFERROR(__xludf.DUMMYFUNCTION("XLOOKUP(B296,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""-"")"),"8870740751")</f>
        <v>8870740751</v>
      </c>
      <c r="M296" s="14" t="s">
        <v>71</v>
      </c>
      <c r="N296" s="14" t="s">
        <v>559</v>
      </c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22"/>
      <c r="AA296" s="22"/>
      <c r="AB296" s="22"/>
      <c r="AC296" s="22"/>
      <c r="AD296" s="22"/>
    </row>
    <row r="297">
      <c r="A297" s="21">
        <v>296.0</v>
      </c>
      <c r="B297" s="32" t="s">
        <v>615</v>
      </c>
      <c r="C297" s="16" t="str">
        <f>IFERROR(__xludf.DUMMYFUNCTION("XLOOKUP(B297,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""-"")"),"GOKILA P")</f>
        <v>GOKILA P</v>
      </c>
      <c r="D297" s="17" t="str">
        <f>IFERROR(__xludf.DUMMYFUNCTION("XLOOKUP(B297,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97" s="51" t="s">
        <v>125</v>
      </c>
      <c r="F297" s="14">
        <v>7.09</v>
      </c>
      <c r="G297" s="14" t="s">
        <v>252</v>
      </c>
      <c r="H297" s="14"/>
      <c r="I297" s="14" t="s">
        <v>432</v>
      </c>
      <c r="J297" s="14" t="s">
        <v>585</v>
      </c>
      <c r="K297" s="17" t="str">
        <f>IFERROR(__xludf.DUMMYFUNCTION("XLOOKUP(B297,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""-"")"),"gokila.cs23@bitsathy.ac.in")</f>
        <v>gokila.cs23@bitsathy.ac.in</v>
      </c>
      <c r="L297" s="21" t="str">
        <f>IFERROR(__xludf.DUMMYFUNCTION("XLOOKUP(B297,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""-"")"),"7667108889")</f>
        <v>7667108889</v>
      </c>
      <c r="M297" s="14" t="s">
        <v>71</v>
      </c>
      <c r="N297" s="14" t="s">
        <v>559</v>
      </c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22"/>
      <c r="AA297" s="22"/>
      <c r="AB297" s="22"/>
      <c r="AC297" s="22"/>
      <c r="AD297" s="22"/>
    </row>
    <row r="298">
      <c r="A298" s="21">
        <v>297.0</v>
      </c>
      <c r="B298" s="32" t="s">
        <v>616</v>
      </c>
      <c r="C298" s="16" t="str">
        <f>IFERROR(__xludf.DUMMYFUNCTION("XLOOKUP(B298,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""-"")"),"GUNANIHIL N")</f>
        <v>GUNANIHIL N</v>
      </c>
      <c r="D298" s="17" t="str">
        <f>IFERROR(__xludf.DUMMYFUNCTION("XLOOKUP(B298,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98" s="51" t="s">
        <v>125</v>
      </c>
      <c r="F298" s="14">
        <v>7.09</v>
      </c>
      <c r="G298" s="14" t="s">
        <v>252</v>
      </c>
      <c r="H298" s="14"/>
      <c r="I298" s="14" t="s">
        <v>432</v>
      </c>
      <c r="J298" s="14" t="s">
        <v>585</v>
      </c>
      <c r="K298" s="17" t="str">
        <f>IFERROR(__xludf.DUMMYFUNCTION("XLOOKUP(B298,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""-"")"),"gunanihil.cs23@bitsathy.ac.in")</f>
        <v>gunanihil.cs23@bitsathy.ac.in</v>
      </c>
      <c r="L298" s="21" t="str">
        <f>IFERROR(__xludf.DUMMYFUNCTION("XLOOKUP(B298,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""-"")"),"7695862878")</f>
        <v>7695862878</v>
      </c>
      <c r="M298" s="14" t="s">
        <v>71</v>
      </c>
      <c r="N298" s="14" t="s">
        <v>559</v>
      </c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22"/>
      <c r="AA298" s="22"/>
      <c r="AB298" s="22"/>
      <c r="AC298" s="22"/>
      <c r="AD298" s="22"/>
    </row>
    <row r="299">
      <c r="A299" s="21">
        <v>298.0</v>
      </c>
      <c r="B299" s="32" t="s">
        <v>617</v>
      </c>
      <c r="C299" s="16" t="str">
        <f>IFERROR(__xludf.DUMMYFUNCTION("XLOOKUP(B299,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""-"")"),"HARISH A")</f>
        <v>HARISH A</v>
      </c>
      <c r="D299" s="17" t="str">
        <f>IFERROR(__xludf.DUMMYFUNCTION("XLOOKUP(B299,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299" s="51" t="s">
        <v>125</v>
      </c>
      <c r="F299" s="14">
        <v>7.09</v>
      </c>
      <c r="G299" s="14" t="s">
        <v>252</v>
      </c>
      <c r="H299" s="14"/>
      <c r="I299" s="14" t="s">
        <v>432</v>
      </c>
      <c r="J299" s="14" t="s">
        <v>585</v>
      </c>
      <c r="K299" s="17" t="str">
        <f>IFERROR(__xludf.DUMMYFUNCTION("XLOOKUP(B299,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""-"")"),"harisha.cs23@bitsathy.ac.in")</f>
        <v>harisha.cs23@bitsathy.ac.in</v>
      </c>
      <c r="L299" s="21" t="str">
        <f>IFERROR(__xludf.DUMMYFUNCTION("XLOOKUP(B299,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""-"")"),"9150639663")</f>
        <v>9150639663</v>
      </c>
      <c r="M299" s="14" t="s">
        <v>71</v>
      </c>
      <c r="N299" s="14" t="s">
        <v>559</v>
      </c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22"/>
      <c r="AA299" s="22"/>
      <c r="AB299" s="22"/>
      <c r="AC299" s="22"/>
      <c r="AD299" s="22"/>
    </row>
    <row r="300">
      <c r="A300" s="21">
        <v>299.0</v>
      </c>
      <c r="B300" s="32" t="s">
        <v>618</v>
      </c>
      <c r="C300" s="16" t="str">
        <f>IFERROR(__xludf.DUMMYFUNCTION("XLOOKUP(B300,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""-"")"),"JESU ANTONY RAJ S")</f>
        <v>JESU ANTONY RAJ S</v>
      </c>
      <c r="D300" s="17" t="str">
        <f>IFERROR(__xludf.DUMMYFUNCTION("XLOOKUP(B300,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0" s="51" t="s">
        <v>125</v>
      </c>
      <c r="F300" s="14">
        <v>7.09</v>
      </c>
      <c r="G300" s="14" t="s">
        <v>252</v>
      </c>
      <c r="H300" s="14"/>
      <c r="I300" s="14" t="s">
        <v>432</v>
      </c>
      <c r="J300" s="14" t="s">
        <v>585</v>
      </c>
      <c r="K300" s="17" t="str">
        <f>IFERROR(__xludf.DUMMYFUNCTION("XLOOKUP(B300,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""-"")"),"jesuantonyraj.cs23@bitsathy.ac.in")</f>
        <v>jesuantonyraj.cs23@bitsathy.ac.in</v>
      </c>
      <c r="L300" s="21" t="str">
        <f>IFERROR(__xludf.DUMMYFUNCTION("XLOOKUP(B300,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""-"")"),"9442935240")</f>
        <v>9442935240</v>
      </c>
      <c r="M300" s="14" t="s">
        <v>71</v>
      </c>
      <c r="N300" s="14" t="s">
        <v>559</v>
      </c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22"/>
      <c r="AA300" s="22"/>
      <c r="AB300" s="22"/>
      <c r="AC300" s="22"/>
      <c r="AD300" s="22"/>
    </row>
    <row r="301">
      <c r="A301" s="21">
        <v>300.0</v>
      </c>
      <c r="B301" s="32" t="s">
        <v>619</v>
      </c>
      <c r="C301" s="16" t="str">
        <f>IFERROR(__xludf.DUMMYFUNCTION("XLOOKUP(B301,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""-"")"),"KANISHKHAA M S")</f>
        <v>KANISHKHAA M S</v>
      </c>
      <c r="D301" s="17" t="str">
        <f>IFERROR(__xludf.DUMMYFUNCTION("XLOOKUP(B301,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1" s="51" t="s">
        <v>125</v>
      </c>
      <c r="F301" s="14">
        <v>7.09</v>
      </c>
      <c r="G301" s="14" t="s">
        <v>252</v>
      </c>
      <c r="H301" s="14"/>
      <c r="I301" s="14" t="s">
        <v>432</v>
      </c>
      <c r="J301" s="14" t="s">
        <v>585</v>
      </c>
      <c r="K301" s="17" t="str">
        <f>IFERROR(__xludf.DUMMYFUNCTION("XLOOKUP(B301,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""-"")"),"kanishkhaa.cs23@bitsathy.ac.in")</f>
        <v>kanishkhaa.cs23@bitsathy.ac.in</v>
      </c>
      <c r="L301" s="21" t="str">
        <f>IFERROR(__xludf.DUMMYFUNCTION("XLOOKUP(B301,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""-"")"),"9361676843")</f>
        <v>9361676843</v>
      </c>
      <c r="M301" s="14" t="s">
        <v>71</v>
      </c>
      <c r="N301" s="14" t="s">
        <v>559</v>
      </c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22"/>
      <c r="AA301" s="22"/>
      <c r="AB301" s="22"/>
      <c r="AC301" s="22"/>
      <c r="AD301" s="22"/>
    </row>
    <row r="302">
      <c r="A302" s="21">
        <v>301.0</v>
      </c>
      <c r="B302" s="32" t="s">
        <v>318</v>
      </c>
      <c r="C302" s="16" t="str">
        <f>IFERROR(__xludf.DUMMYFUNCTION("XLOOKUP(B302,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""-"")"),"KISHORE KUMAAR S R")</f>
        <v>KISHORE KUMAAR S R</v>
      </c>
      <c r="D302" s="17" t="str">
        <f>IFERROR(__xludf.DUMMYFUNCTION("XLOOKUP(B302,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2" s="51" t="s">
        <v>125</v>
      </c>
      <c r="F302" s="14">
        <v>7.09</v>
      </c>
      <c r="G302" s="14" t="s">
        <v>252</v>
      </c>
      <c r="H302" s="14"/>
      <c r="I302" s="14" t="s">
        <v>432</v>
      </c>
      <c r="J302" s="14" t="s">
        <v>585</v>
      </c>
      <c r="K302" s="17" t="str">
        <f>IFERROR(__xludf.DUMMYFUNCTION("XLOOKUP(B302,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""-"")"),"kishorekumaar.cs23@bitsathy.ac.in")</f>
        <v>kishorekumaar.cs23@bitsathy.ac.in</v>
      </c>
      <c r="L302" s="21" t="str">
        <f>IFERROR(__xludf.DUMMYFUNCTION("XLOOKUP(B302,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""-"")"),"9600535257")</f>
        <v>9600535257</v>
      </c>
      <c r="M302" s="14" t="s">
        <v>71</v>
      </c>
      <c r="N302" s="14" t="s">
        <v>559</v>
      </c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22"/>
      <c r="AA302" s="22"/>
      <c r="AB302" s="22"/>
      <c r="AC302" s="22"/>
      <c r="AD302" s="22"/>
    </row>
    <row r="303">
      <c r="A303" s="21">
        <v>302.0</v>
      </c>
      <c r="B303" s="32" t="s">
        <v>620</v>
      </c>
      <c r="C303" s="16" t="str">
        <f>IFERROR(__xludf.DUMMYFUNCTION("XLOOKUP(B303,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""-"")"),"MAHALAKSHMI J")</f>
        <v>MAHALAKSHMI J</v>
      </c>
      <c r="D303" s="17" t="str">
        <f>IFERROR(__xludf.DUMMYFUNCTION("XLOOKUP(B303,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3" s="51" t="s">
        <v>125</v>
      </c>
      <c r="F303" s="14">
        <v>7.09</v>
      </c>
      <c r="G303" s="14" t="s">
        <v>252</v>
      </c>
      <c r="H303" s="14"/>
      <c r="I303" s="14" t="s">
        <v>432</v>
      </c>
      <c r="J303" s="14" t="s">
        <v>585</v>
      </c>
      <c r="K303" s="17" t="str">
        <f>IFERROR(__xludf.DUMMYFUNCTION("XLOOKUP(B303,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""-"")"),"mahalakshmi.cs23@bitsathy.ac.in")</f>
        <v>mahalakshmi.cs23@bitsathy.ac.in</v>
      </c>
      <c r="L303" s="21" t="str">
        <f>IFERROR(__xludf.DUMMYFUNCTION("XLOOKUP(B303,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""-"")"),"8438475890")</f>
        <v>8438475890</v>
      </c>
      <c r="M303" s="14" t="s">
        <v>71</v>
      </c>
      <c r="N303" s="14" t="s">
        <v>559</v>
      </c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22"/>
      <c r="AA303" s="22"/>
      <c r="AB303" s="22"/>
      <c r="AC303" s="22"/>
      <c r="AD303" s="22"/>
    </row>
    <row r="304">
      <c r="A304" s="21">
        <v>303.0</v>
      </c>
      <c r="B304" s="32" t="s">
        <v>621</v>
      </c>
      <c r="C304" s="16" t="str">
        <f>IFERROR(__xludf.DUMMYFUNCTION("XLOOKUP(B304,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""-"")"),"NIVETHA K")</f>
        <v>NIVETHA K</v>
      </c>
      <c r="D304" s="17" t="str">
        <f>IFERROR(__xludf.DUMMYFUNCTION("XLOOKUP(B304,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4" s="51" t="s">
        <v>125</v>
      </c>
      <c r="F304" s="14">
        <v>7.09</v>
      </c>
      <c r="G304" s="14" t="s">
        <v>252</v>
      </c>
      <c r="H304" s="14"/>
      <c r="I304" s="14" t="s">
        <v>432</v>
      </c>
      <c r="J304" s="14" t="s">
        <v>585</v>
      </c>
      <c r="K304" s="17" t="str">
        <f>IFERROR(__xludf.DUMMYFUNCTION("XLOOKUP(B304,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""-"")"),"nivetha.cs23@bitsathy.ac.in")</f>
        <v>nivetha.cs23@bitsathy.ac.in</v>
      </c>
      <c r="L304" s="21" t="str">
        <f>IFERROR(__xludf.DUMMYFUNCTION("XLOOKUP(B304,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""-"")"),"9342366068")</f>
        <v>9342366068</v>
      </c>
      <c r="M304" s="14" t="s">
        <v>71</v>
      </c>
      <c r="N304" s="14" t="s">
        <v>559</v>
      </c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22"/>
      <c r="AA304" s="22"/>
      <c r="AB304" s="22"/>
      <c r="AC304" s="22"/>
      <c r="AD304" s="22"/>
    </row>
    <row r="305">
      <c r="A305" s="21">
        <v>304.0</v>
      </c>
      <c r="B305" s="32" t="s">
        <v>321</v>
      </c>
      <c r="C305" s="16" t="str">
        <f>IFERROR(__xludf.DUMMYFUNCTION("XLOOKUP(B305,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""-"")"),"SIVABALAN P")</f>
        <v>SIVABALAN P</v>
      </c>
      <c r="D305" s="17" t="str">
        <f>IFERROR(__xludf.DUMMYFUNCTION("XLOOKUP(B305,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5" s="51" t="s">
        <v>125</v>
      </c>
      <c r="F305" s="14">
        <v>7.09</v>
      </c>
      <c r="G305" s="14" t="s">
        <v>252</v>
      </c>
      <c r="H305" s="14"/>
      <c r="I305" s="14" t="s">
        <v>432</v>
      </c>
      <c r="J305" s="14" t="s">
        <v>585</v>
      </c>
      <c r="K305" s="17" t="str">
        <f>IFERROR(__xludf.DUMMYFUNCTION("XLOOKUP(B305,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""-"")"),"sivabalan.cs23@bitsathy.ac.in")</f>
        <v>sivabalan.cs23@bitsathy.ac.in</v>
      </c>
      <c r="L305" s="21" t="str">
        <f>IFERROR(__xludf.DUMMYFUNCTION("XLOOKUP(B305,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""-"")"),"9345473169")</f>
        <v>9345473169</v>
      </c>
      <c r="M305" s="14" t="s">
        <v>71</v>
      </c>
      <c r="N305" s="14" t="s">
        <v>559</v>
      </c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22"/>
      <c r="AA305" s="22"/>
      <c r="AB305" s="22"/>
      <c r="AC305" s="22"/>
      <c r="AD305" s="22"/>
    </row>
    <row r="306">
      <c r="A306" s="21">
        <v>305.0</v>
      </c>
      <c r="B306" s="32" t="s">
        <v>622</v>
      </c>
      <c r="C306" s="16" t="str">
        <f>IFERROR(__xludf.DUMMYFUNCTION("XLOOKUP(B306,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""-"")"),"PRITESH S")</f>
        <v>PRITESH S</v>
      </c>
      <c r="D306" s="17" t="str">
        <f>IFERROR(__xludf.DUMMYFUNCTION("XLOOKUP(B306,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06" s="51" t="s">
        <v>125</v>
      </c>
      <c r="F306" s="14">
        <v>7.09</v>
      </c>
      <c r="G306" s="14" t="s">
        <v>252</v>
      </c>
      <c r="H306" s="14"/>
      <c r="I306" s="14" t="s">
        <v>432</v>
      </c>
      <c r="J306" s="14" t="s">
        <v>585</v>
      </c>
      <c r="K306" s="17" t="str">
        <f>IFERROR(__xludf.DUMMYFUNCTION("XLOOKUP(B306,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""-"")"),"priteshs.cs23@bitsathy.ac.in")</f>
        <v>priteshs.cs23@bitsathy.ac.in</v>
      </c>
      <c r="L306" s="21" t="str">
        <f>IFERROR(__xludf.DUMMYFUNCTION("XLOOKUP(B306,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""-"")"),"8610693935")</f>
        <v>8610693935</v>
      </c>
      <c r="M306" s="14" t="s">
        <v>71</v>
      </c>
      <c r="N306" s="14" t="s">
        <v>559</v>
      </c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22"/>
      <c r="AA306" s="22"/>
      <c r="AB306" s="22"/>
      <c r="AC306" s="22"/>
      <c r="AD306" s="22"/>
    </row>
    <row r="307">
      <c r="A307" s="21">
        <v>306.0</v>
      </c>
      <c r="B307" s="32" t="s">
        <v>623</v>
      </c>
      <c r="C307" s="16" t="str">
        <f>IFERROR(__xludf.DUMMYFUNCTION("XLOOKUP(B307,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""-"")"),"KAVISURYA B")</f>
        <v>KAVISURYA B</v>
      </c>
      <c r="D307" s="17" t="str">
        <f>IFERROR(__xludf.DUMMYFUNCTION("XLOOKUP(B307,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07" s="51" t="s">
        <v>125</v>
      </c>
      <c r="F307" s="14">
        <v>7.09</v>
      </c>
      <c r="G307" s="14" t="s">
        <v>252</v>
      </c>
      <c r="H307" s="14"/>
      <c r="I307" s="14" t="s">
        <v>432</v>
      </c>
      <c r="J307" s="14" t="s">
        <v>585</v>
      </c>
      <c r="K307" s="17" t="str">
        <f>IFERROR(__xludf.DUMMYFUNCTION("XLOOKUP(B307,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""-"")"),"kavisurya.ct23@bitsathy.ac.in")</f>
        <v>kavisurya.ct23@bitsathy.ac.in</v>
      </c>
      <c r="L307" s="21" t="str">
        <f>IFERROR(__xludf.DUMMYFUNCTION("XLOOKUP(B307,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""-"")"),"6369885657")</f>
        <v>6369885657</v>
      </c>
      <c r="M307" s="14" t="s">
        <v>71</v>
      </c>
      <c r="N307" s="14" t="s">
        <v>559</v>
      </c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22"/>
      <c r="AA307" s="22"/>
      <c r="AB307" s="22"/>
      <c r="AC307" s="22"/>
      <c r="AD307" s="22"/>
    </row>
    <row r="308">
      <c r="A308" s="21">
        <v>307.0</v>
      </c>
      <c r="B308" s="32" t="s">
        <v>299</v>
      </c>
      <c r="C308" s="16" t="str">
        <f>IFERROR(__xludf.DUMMYFUNCTION("XLOOKUP(B308,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""-"")"),"RAAJA HARI VIGNESH S")</f>
        <v>RAAJA HARI VIGNESH S</v>
      </c>
      <c r="D308" s="17" t="str">
        <f>IFERROR(__xludf.DUMMYFUNCTION("XLOOKUP(B308,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08" s="51" t="s">
        <v>125</v>
      </c>
      <c r="F308" s="14">
        <v>7.09</v>
      </c>
      <c r="G308" s="14" t="s">
        <v>252</v>
      </c>
      <c r="H308" s="14"/>
      <c r="I308" s="14" t="s">
        <v>432</v>
      </c>
      <c r="J308" s="14" t="s">
        <v>585</v>
      </c>
      <c r="K308" s="17" t="str">
        <f>IFERROR(__xludf.DUMMYFUNCTION("XLOOKUP(B308,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""-"")"),"raajaharivignesh.ct23@bitsathy.ac.in")</f>
        <v>raajaharivignesh.ct23@bitsathy.ac.in</v>
      </c>
      <c r="L308" s="21" t="str">
        <f>IFERROR(__xludf.DUMMYFUNCTION("XLOOKUP(B308,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""-"")"),"7339565407")</f>
        <v>7339565407</v>
      </c>
      <c r="M308" s="14" t="s">
        <v>71</v>
      </c>
      <c r="N308" s="14" t="s">
        <v>559</v>
      </c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22"/>
      <c r="AA308" s="22"/>
      <c r="AB308" s="22"/>
      <c r="AC308" s="22"/>
      <c r="AD308" s="22"/>
    </row>
    <row r="309">
      <c r="A309" s="21">
        <v>308.0</v>
      </c>
      <c r="B309" s="32" t="s">
        <v>624</v>
      </c>
      <c r="C309" s="16" t="str">
        <f>IFERROR(__xludf.DUMMYFUNCTION("XLOOKUP(B309,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""-"")"),"RHIDHANYA K")</f>
        <v>RHIDHANYA K</v>
      </c>
      <c r="D309" s="17" t="str">
        <f>IFERROR(__xludf.DUMMYFUNCTION("XLOOKUP(B309,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09" s="51" t="s">
        <v>125</v>
      </c>
      <c r="F309" s="14">
        <v>7.09</v>
      </c>
      <c r="G309" s="14" t="s">
        <v>252</v>
      </c>
      <c r="H309" s="14"/>
      <c r="I309" s="14" t="s">
        <v>432</v>
      </c>
      <c r="J309" s="14" t="s">
        <v>585</v>
      </c>
      <c r="K309" s="17" t="str">
        <f>IFERROR(__xludf.DUMMYFUNCTION("XLOOKUP(B309,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""-"")"),"rhidhanya.ct23@bitsathy.ac.in")</f>
        <v>rhidhanya.ct23@bitsathy.ac.in</v>
      </c>
      <c r="L309" s="21" t="str">
        <f>IFERROR(__xludf.DUMMYFUNCTION("XLOOKUP(B309,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""-"")"),"9952762189")</f>
        <v>9952762189</v>
      </c>
      <c r="M309" s="14" t="s">
        <v>71</v>
      </c>
      <c r="N309" s="14" t="s">
        <v>559</v>
      </c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22"/>
      <c r="AA309" s="22"/>
      <c r="AB309" s="22"/>
      <c r="AC309" s="22"/>
      <c r="AD309" s="22"/>
    </row>
    <row r="310">
      <c r="A310" s="21">
        <v>309.0</v>
      </c>
      <c r="B310" s="32" t="s">
        <v>625</v>
      </c>
      <c r="C310" s="16" t="str">
        <f>IFERROR(__xludf.DUMMYFUNCTION("XLOOKUP(B310,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""-"")"),"THILAK R P")</f>
        <v>THILAK R P</v>
      </c>
      <c r="D310" s="17" t="str">
        <f>IFERROR(__xludf.DUMMYFUNCTION("XLOOKUP(B310,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10" s="51" t="s">
        <v>125</v>
      </c>
      <c r="F310" s="14">
        <v>7.09</v>
      </c>
      <c r="G310" s="14" t="s">
        <v>252</v>
      </c>
      <c r="H310" s="14"/>
      <c r="I310" s="14" t="s">
        <v>432</v>
      </c>
      <c r="J310" s="14" t="s">
        <v>585</v>
      </c>
      <c r="K310" s="17" t="str">
        <f>IFERROR(__xludf.DUMMYFUNCTION("XLOOKUP(B310,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""-"")"),"thilak.ct23@bitsathy.ac.in")</f>
        <v>thilak.ct23@bitsathy.ac.in</v>
      </c>
      <c r="L310" s="21" t="str">
        <f>IFERROR(__xludf.DUMMYFUNCTION("XLOOKUP(B310,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""-"")"),"8667022811")</f>
        <v>8667022811</v>
      </c>
      <c r="M310" s="14" t="s">
        <v>71</v>
      </c>
      <c r="N310" s="14" t="s">
        <v>559</v>
      </c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22"/>
      <c r="AA310" s="22"/>
      <c r="AB310" s="22"/>
      <c r="AC310" s="22"/>
      <c r="AD310" s="22"/>
    </row>
    <row r="311">
      <c r="A311" s="21">
        <v>310.0</v>
      </c>
      <c r="B311" s="32" t="s">
        <v>626</v>
      </c>
      <c r="C311" s="16" t="str">
        <f>IFERROR(__xludf.DUMMYFUNCTION("XLOOKUP(B311,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""-"")"),"DHANUSRI K R R")</f>
        <v>DHANUSRI K R R</v>
      </c>
      <c r="D311" s="17" t="str">
        <f>IFERROR(__xludf.DUMMYFUNCTION("XLOOKUP(B311,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1" s="51" t="s">
        <v>125</v>
      </c>
      <c r="F311" s="14">
        <v>7.09</v>
      </c>
      <c r="G311" s="14" t="s">
        <v>252</v>
      </c>
      <c r="H311" s="14"/>
      <c r="I311" s="14" t="s">
        <v>432</v>
      </c>
      <c r="J311" s="14" t="s">
        <v>585</v>
      </c>
      <c r="K311" s="17" t="str">
        <f>IFERROR(__xludf.DUMMYFUNCTION("XLOOKUP(B311,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""-"")"),"dhanusri.ec23@bitsathy.ac.in")</f>
        <v>dhanusri.ec23@bitsathy.ac.in</v>
      </c>
      <c r="L311" s="21" t="str">
        <f>IFERROR(__xludf.DUMMYFUNCTION("XLOOKUP(B311,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""-"")"),"8825608620")</f>
        <v>8825608620</v>
      </c>
      <c r="M311" s="14" t="s">
        <v>71</v>
      </c>
      <c r="N311" s="14" t="s">
        <v>559</v>
      </c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22"/>
      <c r="AA311" s="22"/>
      <c r="AB311" s="22"/>
      <c r="AC311" s="22"/>
      <c r="AD311" s="22"/>
    </row>
    <row r="312">
      <c r="A312" s="21">
        <v>311.0</v>
      </c>
      <c r="B312" s="32" t="s">
        <v>627</v>
      </c>
      <c r="C312" s="16" t="str">
        <f>IFERROR(__xludf.DUMMYFUNCTION("XLOOKUP(B312,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""-"")"),"DHARANISH S S")</f>
        <v>DHARANISH S S</v>
      </c>
      <c r="D312" s="17" t="str">
        <f>IFERROR(__xludf.DUMMYFUNCTION("XLOOKUP(B312,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2" s="51" t="s">
        <v>125</v>
      </c>
      <c r="F312" s="14">
        <v>7.09</v>
      </c>
      <c r="G312" s="14" t="s">
        <v>252</v>
      </c>
      <c r="H312" s="14"/>
      <c r="I312" s="14" t="s">
        <v>432</v>
      </c>
      <c r="J312" s="14" t="s">
        <v>585</v>
      </c>
      <c r="K312" s="17" t="str">
        <f>IFERROR(__xludf.DUMMYFUNCTION("XLOOKUP(B312,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""-"")"),"dharanish.ec23@bitsathy.ac.in")</f>
        <v>dharanish.ec23@bitsathy.ac.in</v>
      </c>
      <c r="L312" s="21" t="str">
        <f>IFERROR(__xludf.DUMMYFUNCTION("XLOOKUP(B312,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""-"")"),"8072930947")</f>
        <v>8072930947</v>
      </c>
      <c r="M312" s="14" t="s">
        <v>71</v>
      </c>
      <c r="N312" s="14" t="s">
        <v>559</v>
      </c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22"/>
      <c r="AA312" s="22"/>
      <c r="AB312" s="22"/>
      <c r="AC312" s="22"/>
      <c r="AD312" s="22"/>
    </row>
    <row r="313">
      <c r="A313" s="21">
        <v>312.0</v>
      </c>
      <c r="B313" s="32" t="s">
        <v>628</v>
      </c>
      <c r="C313" s="16" t="str">
        <f>IFERROR(__xludf.DUMMYFUNCTION("XLOOKUP(B313,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""-"")"),"DIBAGAR S")</f>
        <v>DIBAGAR S</v>
      </c>
      <c r="D313" s="17" t="str">
        <f>IFERROR(__xludf.DUMMYFUNCTION("XLOOKUP(B313,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3" s="51" t="s">
        <v>125</v>
      </c>
      <c r="F313" s="14">
        <v>7.09</v>
      </c>
      <c r="G313" s="14" t="s">
        <v>252</v>
      </c>
      <c r="H313" s="14"/>
      <c r="I313" s="14" t="s">
        <v>432</v>
      </c>
      <c r="J313" s="14" t="s">
        <v>585</v>
      </c>
      <c r="K313" s="17" t="str">
        <f>IFERROR(__xludf.DUMMYFUNCTION("XLOOKUP(B313,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""-"")"),"dibagar.ec23@bitsathy.ac.in")</f>
        <v>dibagar.ec23@bitsathy.ac.in</v>
      </c>
      <c r="L313" s="21" t="str">
        <f>IFERROR(__xludf.DUMMYFUNCTION("XLOOKUP(B313,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""-"")"),"6381792066")</f>
        <v>6381792066</v>
      </c>
      <c r="M313" s="14" t="s">
        <v>71</v>
      </c>
      <c r="N313" s="14" t="s">
        <v>559</v>
      </c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22"/>
      <c r="AA313" s="22"/>
      <c r="AB313" s="22"/>
      <c r="AC313" s="22"/>
      <c r="AD313" s="22"/>
    </row>
    <row r="314">
      <c r="A314" s="21">
        <v>313.0</v>
      </c>
      <c r="B314" s="32" t="s">
        <v>629</v>
      </c>
      <c r="C314" s="16" t="str">
        <f>IFERROR(__xludf.DUMMYFUNCTION("XLOOKUP(B314,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""-"")"),"JOTHIKA  S")</f>
        <v>JOTHIKA  S</v>
      </c>
      <c r="D314" s="17" t="str">
        <f>IFERROR(__xludf.DUMMYFUNCTION("XLOOKUP(B314,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4" s="51" t="s">
        <v>125</v>
      </c>
      <c r="F314" s="14">
        <v>7.09</v>
      </c>
      <c r="G314" s="14" t="s">
        <v>252</v>
      </c>
      <c r="H314" s="14"/>
      <c r="I314" s="14" t="s">
        <v>432</v>
      </c>
      <c r="J314" s="14" t="s">
        <v>585</v>
      </c>
      <c r="K314" s="17" t="str">
        <f>IFERROR(__xludf.DUMMYFUNCTION("XLOOKUP(B314,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""-"")"),"jothika.ec23@bitsathy.ac.in")</f>
        <v>jothika.ec23@bitsathy.ac.in</v>
      </c>
      <c r="L314" s="21" t="str">
        <f>IFERROR(__xludf.DUMMYFUNCTION("XLOOKUP(B314,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""-"")"),"7200910155")</f>
        <v>7200910155</v>
      </c>
      <c r="M314" s="14" t="s">
        <v>71</v>
      </c>
      <c r="N314" s="14" t="s">
        <v>559</v>
      </c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22"/>
      <c r="AA314" s="22"/>
      <c r="AB314" s="22"/>
      <c r="AC314" s="22"/>
      <c r="AD314" s="22"/>
    </row>
    <row r="315">
      <c r="A315" s="21">
        <v>314.0</v>
      </c>
      <c r="B315" s="32" t="s">
        <v>630</v>
      </c>
      <c r="C315" s="16" t="str">
        <f>IFERROR(__xludf.DUMMYFUNCTION("XLOOKUP(B315,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""-"")"),"KABILAN  D")</f>
        <v>KABILAN  D</v>
      </c>
      <c r="D315" s="17" t="str">
        <f>IFERROR(__xludf.DUMMYFUNCTION("XLOOKUP(B315,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5" s="51" t="s">
        <v>125</v>
      </c>
      <c r="F315" s="14">
        <v>7.09</v>
      </c>
      <c r="G315" s="14" t="s">
        <v>252</v>
      </c>
      <c r="H315" s="14"/>
      <c r="I315" s="14" t="s">
        <v>432</v>
      </c>
      <c r="J315" s="14" t="s">
        <v>585</v>
      </c>
      <c r="K315" s="17" t="str">
        <f>IFERROR(__xludf.DUMMYFUNCTION("XLOOKUP(B315,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""-"")"),"kabilan.ec23@bitsathy.ac.in")</f>
        <v>kabilan.ec23@bitsathy.ac.in</v>
      </c>
      <c r="L315" s="21" t="str">
        <f>IFERROR(__xludf.DUMMYFUNCTION("XLOOKUP(B315,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""-"")"),"8122735068")</f>
        <v>8122735068</v>
      </c>
      <c r="M315" s="14" t="s">
        <v>71</v>
      </c>
      <c r="N315" s="14" t="s">
        <v>559</v>
      </c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22"/>
      <c r="AA315" s="22"/>
      <c r="AB315" s="22"/>
      <c r="AC315" s="22"/>
      <c r="AD315" s="22"/>
    </row>
    <row r="316">
      <c r="A316" s="21">
        <v>315.0</v>
      </c>
      <c r="B316" s="32" t="s">
        <v>631</v>
      </c>
      <c r="C316" s="16" t="str">
        <f>IFERROR(__xludf.DUMMYFUNCTION("XLOOKUP(B316,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""-"")"),"SANJAY GANDHI G")</f>
        <v>SANJAY GANDHI G</v>
      </c>
      <c r="D316" s="17" t="str">
        <f>IFERROR(__xludf.DUMMYFUNCTION("XLOOKUP(B316,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6" s="51" t="s">
        <v>125</v>
      </c>
      <c r="F316" s="14">
        <v>7.09</v>
      </c>
      <c r="G316" s="14" t="s">
        <v>252</v>
      </c>
      <c r="H316" s="14"/>
      <c r="I316" s="14" t="s">
        <v>432</v>
      </c>
      <c r="J316" s="14" t="s">
        <v>585</v>
      </c>
      <c r="K316" s="17" t="str">
        <f>IFERROR(__xludf.DUMMYFUNCTION("XLOOKUP(B316,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""-"")"),"sanjaygandhi.ec23@bitsathy.ac.in")</f>
        <v>sanjaygandhi.ec23@bitsathy.ac.in</v>
      </c>
      <c r="L316" s="21" t="str">
        <f>IFERROR(__xludf.DUMMYFUNCTION("XLOOKUP(B316,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""-"")"),"7339627311")</f>
        <v>7339627311</v>
      </c>
      <c r="M316" s="14" t="s">
        <v>71</v>
      </c>
      <c r="N316" s="14" t="s">
        <v>559</v>
      </c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22"/>
      <c r="AA316" s="22"/>
      <c r="AB316" s="22"/>
      <c r="AC316" s="22"/>
      <c r="AD316" s="22"/>
    </row>
    <row r="317">
      <c r="A317" s="21">
        <v>316.0</v>
      </c>
      <c r="B317" s="32" t="s">
        <v>632</v>
      </c>
      <c r="C317" s="16" t="str">
        <f>IFERROR(__xludf.DUMMYFUNCTION("XLOOKUP(B317,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""-"")"),"SIVASUBRAMANIYAM S")</f>
        <v>SIVASUBRAMANIYAM S</v>
      </c>
      <c r="D317" s="17" t="str">
        <f>IFERROR(__xludf.DUMMYFUNCTION("XLOOKUP(B317,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7" s="51" t="s">
        <v>125</v>
      </c>
      <c r="F317" s="14">
        <v>7.09</v>
      </c>
      <c r="G317" s="14" t="s">
        <v>252</v>
      </c>
      <c r="H317" s="14"/>
      <c r="I317" s="14" t="s">
        <v>432</v>
      </c>
      <c r="J317" s="14" t="s">
        <v>585</v>
      </c>
      <c r="K317" s="17" t="str">
        <f>IFERROR(__xludf.DUMMYFUNCTION("XLOOKUP(B317,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""-"")"),"sivasubramaniyam.ec23@bitsathy.ac.in")</f>
        <v>sivasubramaniyam.ec23@bitsathy.ac.in</v>
      </c>
      <c r="L317" s="21" t="str">
        <f>IFERROR(__xludf.DUMMYFUNCTION("XLOOKUP(B317,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""-"")"),"6379148989")</f>
        <v>6379148989</v>
      </c>
      <c r="M317" s="14" t="s">
        <v>71</v>
      </c>
      <c r="N317" s="14" t="s">
        <v>559</v>
      </c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22"/>
      <c r="AA317" s="22"/>
      <c r="AB317" s="22"/>
      <c r="AC317" s="22"/>
      <c r="AD317" s="22"/>
    </row>
    <row r="318">
      <c r="A318" s="21">
        <v>317.0</v>
      </c>
      <c r="B318" s="32" t="s">
        <v>633</v>
      </c>
      <c r="C318" s="16" t="str">
        <f>IFERROR(__xludf.DUMMYFUNCTION("XLOOKUP(B318,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 ADHITHYA S K")</f>
        <v>THARUN ADHITHYA S K</v>
      </c>
      <c r="D318" s="17" t="str">
        <f>IFERROR(__xludf.DUMMYFUNCTION("XLOOKUP(B318,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18" s="51" t="s">
        <v>125</v>
      </c>
      <c r="F318" s="14">
        <v>7.09</v>
      </c>
      <c r="G318" s="14" t="s">
        <v>252</v>
      </c>
      <c r="H318" s="14"/>
      <c r="I318" s="14" t="s">
        <v>432</v>
      </c>
      <c r="J318" s="14" t="s">
        <v>585</v>
      </c>
      <c r="K318" s="17" t="str">
        <f>IFERROR(__xludf.DUMMYFUNCTION("XLOOKUP(B318,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""-"")"),"tharunadhithya.ec23@bitsathy.ac.in")</f>
        <v>tharunadhithya.ec23@bitsathy.ac.in</v>
      </c>
      <c r="L318" s="21" t="str">
        <f>IFERROR(__xludf.DUMMYFUNCTION("XLOOKUP(B318,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""-"")"),"9342069525")</f>
        <v>9342069525</v>
      </c>
      <c r="M318" s="14" t="s">
        <v>71</v>
      </c>
      <c r="N318" s="14" t="s">
        <v>559</v>
      </c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22"/>
      <c r="AA318" s="22"/>
      <c r="AB318" s="22"/>
      <c r="AC318" s="22"/>
      <c r="AD318" s="22"/>
    </row>
    <row r="319">
      <c r="A319" s="21">
        <v>318.0</v>
      </c>
      <c r="B319" s="32" t="s">
        <v>634</v>
      </c>
      <c r="C319" s="16" t="str">
        <f>IFERROR(__xludf.DUMMYFUNCTION("XLOOKUP(B319,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""-"")"),"KIRUTHIKA E")</f>
        <v>KIRUTHIKA E</v>
      </c>
      <c r="D319" s="17" t="str">
        <f>IFERROR(__xludf.DUMMYFUNCTION("XLOOKUP(B319,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319" s="51" t="s">
        <v>125</v>
      </c>
      <c r="F319" s="14">
        <v>7.09</v>
      </c>
      <c r="G319" s="14" t="s">
        <v>252</v>
      </c>
      <c r="H319" s="14"/>
      <c r="I319" s="14" t="s">
        <v>432</v>
      </c>
      <c r="J319" s="14" t="s">
        <v>585</v>
      </c>
      <c r="K319" s="17" t="str">
        <f>IFERROR(__xludf.DUMMYFUNCTION("XLOOKUP(B319,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""-"")"),"kiruthika.se23@bitsathy.ac.in")</f>
        <v>kiruthika.se23@bitsathy.ac.in</v>
      </c>
      <c r="L319" s="21" t="str">
        <f>IFERROR(__xludf.DUMMYFUNCTION("XLOOKUP(B319,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""-"")"),"9787129194")</f>
        <v>9787129194</v>
      </c>
      <c r="M319" s="14" t="s">
        <v>71</v>
      </c>
      <c r="N319" s="14" t="s">
        <v>559</v>
      </c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22"/>
      <c r="AA319" s="22"/>
      <c r="AB319" s="22"/>
      <c r="AC319" s="22"/>
      <c r="AD319" s="22"/>
    </row>
    <row r="320">
      <c r="A320" s="21">
        <v>319.0</v>
      </c>
      <c r="B320" s="32" t="s">
        <v>635</v>
      </c>
      <c r="C320" s="16" t="str">
        <f>IFERROR(__xludf.DUMMYFUNCTION("XLOOKUP(B320,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""-"")"),"SRIMATHI K")</f>
        <v>SRIMATHI K</v>
      </c>
      <c r="D320" s="17" t="str">
        <f>IFERROR(__xludf.DUMMYFUNCTION("XLOOKUP(B320,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320" s="51" t="s">
        <v>125</v>
      </c>
      <c r="F320" s="14">
        <v>7.09</v>
      </c>
      <c r="G320" s="14" t="s">
        <v>252</v>
      </c>
      <c r="H320" s="14"/>
      <c r="I320" s="14" t="s">
        <v>432</v>
      </c>
      <c r="J320" s="14" t="s">
        <v>585</v>
      </c>
      <c r="K320" s="17" t="str">
        <f>IFERROR(__xludf.DUMMYFUNCTION("XLOOKUP(B320,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""-"")"),"srimathi.se23@bitsathy.ac.in")</f>
        <v>srimathi.se23@bitsathy.ac.in</v>
      </c>
      <c r="L320" s="21" t="str">
        <f>IFERROR(__xludf.DUMMYFUNCTION("XLOOKUP(B320,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""-"")"),"8220113728")</f>
        <v>8220113728</v>
      </c>
      <c r="M320" s="14" t="s">
        <v>71</v>
      </c>
      <c r="N320" s="14" t="s">
        <v>559</v>
      </c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22"/>
      <c r="AA320" s="22"/>
      <c r="AB320" s="22"/>
      <c r="AC320" s="22"/>
      <c r="AD320" s="22"/>
    </row>
    <row r="321">
      <c r="A321" s="21">
        <v>320.0</v>
      </c>
      <c r="B321" s="32" t="s">
        <v>636</v>
      </c>
      <c r="C321" s="16" t="str">
        <f>IFERROR(__xludf.DUMMYFUNCTION("XLOOKUP(B321,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""-"")"),"ADHAVAN P")</f>
        <v>ADHAVAN P</v>
      </c>
      <c r="D321" s="17" t="str">
        <f>IFERROR(__xludf.DUMMYFUNCTION("XLOOKUP(B321,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1" s="51" t="s">
        <v>125</v>
      </c>
      <c r="F321" s="14">
        <v>7.09</v>
      </c>
      <c r="G321" s="14" t="s">
        <v>252</v>
      </c>
      <c r="H321" s="14"/>
      <c r="I321" s="14" t="s">
        <v>432</v>
      </c>
      <c r="J321" s="14" t="s">
        <v>585</v>
      </c>
      <c r="K321" s="17" t="str">
        <f>IFERROR(__xludf.DUMMYFUNCTION("XLOOKUP(B321,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""-"")"),"adhavan.it23@bitsathy.ac.in")</f>
        <v>adhavan.it23@bitsathy.ac.in</v>
      </c>
      <c r="L321" s="21" t="str">
        <f>IFERROR(__xludf.DUMMYFUNCTION("XLOOKUP(B321,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""-"")"),"9688269858")</f>
        <v>9688269858</v>
      </c>
      <c r="M321" s="14" t="s">
        <v>71</v>
      </c>
      <c r="N321" s="14" t="s">
        <v>559</v>
      </c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22"/>
      <c r="AA321" s="22"/>
      <c r="AB321" s="22"/>
      <c r="AC321" s="22"/>
      <c r="AD321" s="22"/>
    </row>
    <row r="322">
      <c r="A322" s="21">
        <v>321.0</v>
      </c>
      <c r="B322" s="32" t="s">
        <v>637</v>
      </c>
      <c r="C322" s="16" t="str">
        <f>IFERROR(__xludf.DUMMYFUNCTION("XLOOKUP(B322,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""-"")"),"ANNISH LITISHA JEBASTIN")</f>
        <v>ANNISH LITISHA JEBASTIN</v>
      </c>
      <c r="D322" s="17" t="str">
        <f>IFERROR(__xludf.DUMMYFUNCTION("XLOOKUP(B322,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2" s="51" t="s">
        <v>125</v>
      </c>
      <c r="F322" s="14">
        <v>7.09</v>
      </c>
      <c r="G322" s="14" t="s">
        <v>252</v>
      </c>
      <c r="H322" s="14"/>
      <c r="I322" s="14" t="s">
        <v>432</v>
      </c>
      <c r="J322" s="14" t="s">
        <v>585</v>
      </c>
      <c r="K322" s="17" t="str">
        <f>IFERROR(__xludf.DUMMYFUNCTION("XLOOKUP(B322,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""-"")"),"annishlitisha.it23@bitsathy.ac.in")</f>
        <v>annishlitisha.it23@bitsathy.ac.in</v>
      </c>
      <c r="L322" s="21" t="str">
        <f>IFERROR(__xludf.DUMMYFUNCTION("XLOOKUP(B322,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""-"")"),"9976625704")</f>
        <v>9976625704</v>
      </c>
      <c r="M322" s="14" t="s">
        <v>71</v>
      </c>
      <c r="N322" s="14" t="s">
        <v>559</v>
      </c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22"/>
      <c r="AA322" s="22"/>
      <c r="AB322" s="22"/>
      <c r="AC322" s="22"/>
      <c r="AD322" s="22"/>
    </row>
    <row r="323">
      <c r="A323" s="21">
        <v>322.0</v>
      </c>
      <c r="B323" s="32" t="s">
        <v>638</v>
      </c>
      <c r="C323" s="16" t="str">
        <f>IFERROR(__xludf.DUMMYFUNCTION("XLOOKUP(B323,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""-"")"),"ASIN RAJA M D")</f>
        <v>ASIN RAJA M D</v>
      </c>
      <c r="D323" s="17" t="str">
        <f>IFERROR(__xludf.DUMMYFUNCTION("XLOOKUP(B323,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3" s="51" t="s">
        <v>125</v>
      </c>
      <c r="F323" s="14">
        <v>7.09</v>
      </c>
      <c r="G323" s="14" t="s">
        <v>252</v>
      </c>
      <c r="H323" s="14"/>
      <c r="I323" s="14" t="s">
        <v>432</v>
      </c>
      <c r="J323" s="14" t="s">
        <v>585</v>
      </c>
      <c r="K323" s="17" t="str">
        <f>IFERROR(__xludf.DUMMYFUNCTION("XLOOKUP(B323,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""-"")"),"asinraja.it23@bitsathy.ac.in")</f>
        <v>asinraja.it23@bitsathy.ac.in</v>
      </c>
      <c r="L323" s="21" t="str">
        <f>IFERROR(__xludf.DUMMYFUNCTION("XLOOKUP(B323,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""-"")"),"6381738184")</f>
        <v>6381738184</v>
      </c>
      <c r="M323" s="14" t="s">
        <v>71</v>
      </c>
      <c r="N323" s="14" t="s">
        <v>559</v>
      </c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22"/>
      <c r="AA323" s="22"/>
      <c r="AB323" s="22"/>
      <c r="AC323" s="22"/>
      <c r="AD323" s="22"/>
    </row>
    <row r="324">
      <c r="A324" s="21">
        <v>323.0</v>
      </c>
      <c r="B324" s="32" t="s">
        <v>639</v>
      </c>
      <c r="C324" s="16" t="str">
        <f>IFERROR(__xludf.DUMMYFUNCTION("XLOOKUP(B324,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""-"")"),"HEMASRI M")</f>
        <v>HEMASRI M</v>
      </c>
      <c r="D324" s="17" t="str">
        <f>IFERROR(__xludf.DUMMYFUNCTION("XLOOKUP(B324,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4" s="51" t="s">
        <v>125</v>
      </c>
      <c r="F324" s="14">
        <v>7.09</v>
      </c>
      <c r="G324" s="14" t="s">
        <v>252</v>
      </c>
      <c r="H324" s="14"/>
      <c r="I324" s="14" t="s">
        <v>432</v>
      </c>
      <c r="J324" s="14" t="s">
        <v>585</v>
      </c>
      <c r="K324" s="17" t="str">
        <f>IFERROR(__xludf.DUMMYFUNCTION("XLOOKUP(B324,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""-"")"),"hemasri.it23@bitsathy.ac.in")</f>
        <v>hemasri.it23@bitsathy.ac.in</v>
      </c>
      <c r="L324" s="21" t="str">
        <f>IFERROR(__xludf.DUMMYFUNCTION("XLOOKUP(B324,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""-"")"),"9952275342")</f>
        <v>9952275342</v>
      </c>
      <c r="M324" s="14" t="s">
        <v>71</v>
      </c>
      <c r="N324" s="14" t="s">
        <v>559</v>
      </c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22"/>
      <c r="AA324" s="22"/>
      <c r="AB324" s="22"/>
      <c r="AC324" s="22"/>
      <c r="AD324" s="22"/>
    </row>
    <row r="325">
      <c r="A325" s="21">
        <v>324.0</v>
      </c>
      <c r="B325" s="32" t="s">
        <v>640</v>
      </c>
      <c r="C325" s="16" t="str">
        <f>IFERROR(__xludf.DUMMYFUNCTION("XLOOKUP(B325,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""-"")"),"KAVIYA K")</f>
        <v>KAVIYA K</v>
      </c>
      <c r="D325" s="17" t="str">
        <f>IFERROR(__xludf.DUMMYFUNCTION("XLOOKUP(B325,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5" s="51" t="s">
        <v>125</v>
      </c>
      <c r="F325" s="14">
        <v>7.09</v>
      </c>
      <c r="G325" s="14" t="s">
        <v>252</v>
      </c>
      <c r="H325" s="14"/>
      <c r="I325" s="14" t="s">
        <v>432</v>
      </c>
      <c r="J325" s="14" t="s">
        <v>585</v>
      </c>
      <c r="K325" s="17" t="str">
        <f>IFERROR(__xludf.DUMMYFUNCTION("XLOOKUP(B325,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""-"")"),"kaviya.it23@bitsathy.ac.in")</f>
        <v>kaviya.it23@bitsathy.ac.in</v>
      </c>
      <c r="L325" s="21" t="str">
        <f>IFERROR(__xludf.DUMMYFUNCTION("XLOOKUP(B325,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""-"")"),"7904157170")</f>
        <v>7904157170</v>
      </c>
      <c r="M325" s="14" t="s">
        <v>71</v>
      </c>
      <c r="N325" s="14" t="s">
        <v>559</v>
      </c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22"/>
      <c r="AA325" s="22"/>
      <c r="AB325" s="22"/>
      <c r="AC325" s="22"/>
      <c r="AD325" s="22"/>
    </row>
    <row r="326">
      <c r="A326" s="21">
        <v>325.0</v>
      </c>
      <c r="B326" s="32" t="s">
        <v>641</v>
      </c>
      <c r="C326" s="16" t="str">
        <f>IFERROR(__xludf.DUMMYFUNCTION("XLOOKUP(B326,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""-"")"),"KIRUBA S")</f>
        <v>KIRUBA S</v>
      </c>
      <c r="D326" s="17" t="str">
        <f>IFERROR(__xludf.DUMMYFUNCTION("XLOOKUP(B326,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6" s="51" t="s">
        <v>125</v>
      </c>
      <c r="F326" s="14">
        <v>7.09</v>
      </c>
      <c r="G326" s="14" t="s">
        <v>252</v>
      </c>
      <c r="H326" s="14"/>
      <c r="I326" s="14" t="s">
        <v>432</v>
      </c>
      <c r="J326" s="14" t="s">
        <v>585</v>
      </c>
      <c r="K326" s="17" t="str">
        <f>IFERROR(__xludf.DUMMYFUNCTION("XLOOKUP(B326,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""-"")"),"kiruba.it23@bitsathy.ac.in")</f>
        <v>kiruba.it23@bitsathy.ac.in</v>
      </c>
      <c r="L326" s="21" t="str">
        <f>IFERROR(__xludf.DUMMYFUNCTION("XLOOKUP(B326,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""-"")"),"9442719003")</f>
        <v>9442719003</v>
      </c>
      <c r="M326" s="14" t="s">
        <v>71</v>
      </c>
      <c r="N326" s="14" t="s">
        <v>559</v>
      </c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22"/>
      <c r="AA326" s="22"/>
      <c r="AB326" s="22"/>
      <c r="AC326" s="22"/>
      <c r="AD326" s="22"/>
    </row>
    <row r="327">
      <c r="A327" s="21">
        <v>326.0</v>
      </c>
      <c r="B327" s="32" t="s">
        <v>642</v>
      </c>
      <c r="C327" s="16" t="str">
        <f>IFERROR(__xludf.DUMMYFUNCTION("XLOOKUP(B327,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""-"")"),"MATHUNILA K")</f>
        <v>MATHUNILA K</v>
      </c>
      <c r="D327" s="17" t="str">
        <f>IFERROR(__xludf.DUMMYFUNCTION("XLOOKUP(B327,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7" s="51" t="s">
        <v>125</v>
      </c>
      <c r="F327" s="14">
        <v>7.09</v>
      </c>
      <c r="G327" s="14" t="s">
        <v>252</v>
      </c>
      <c r="H327" s="14"/>
      <c r="I327" s="14" t="s">
        <v>432</v>
      </c>
      <c r="J327" s="14" t="s">
        <v>585</v>
      </c>
      <c r="K327" s="17" t="str">
        <f>IFERROR(__xludf.DUMMYFUNCTION("XLOOKUP(B327,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""-"")"),"mathunila.it23@bitsathy.ac.in")</f>
        <v>mathunila.it23@bitsathy.ac.in</v>
      </c>
      <c r="L327" s="21" t="str">
        <f>IFERROR(__xludf.DUMMYFUNCTION("XLOOKUP(B327,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""-"")"),"6369202151")</f>
        <v>6369202151</v>
      </c>
      <c r="M327" s="14" t="s">
        <v>71</v>
      </c>
      <c r="N327" s="14" t="s">
        <v>559</v>
      </c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22"/>
      <c r="AA327" s="22"/>
      <c r="AB327" s="22"/>
      <c r="AC327" s="22"/>
      <c r="AD327" s="22"/>
    </row>
    <row r="328">
      <c r="A328" s="21">
        <v>327.0</v>
      </c>
      <c r="B328" s="32" t="s">
        <v>643</v>
      </c>
      <c r="C328" s="16" t="str">
        <f>IFERROR(__xludf.DUMMYFUNCTION("XLOOKUP(B328,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""-"")"),"MITHELESH K")</f>
        <v>MITHELESH K</v>
      </c>
      <c r="D328" s="17" t="str">
        <f>IFERROR(__xludf.DUMMYFUNCTION("XLOOKUP(B328,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8" s="51" t="s">
        <v>125</v>
      </c>
      <c r="F328" s="14">
        <v>7.09</v>
      </c>
      <c r="G328" s="14" t="s">
        <v>252</v>
      </c>
      <c r="H328" s="14"/>
      <c r="I328" s="14" t="s">
        <v>432</v>
      </c>
      <c r="J328" s="14" t="s">
        <v>585</v>
      </c>
      <c r="K328" s="17" t="str">
        <f>IFERROR(__xludf.DUMMYFUNCTION("XLOOKUP(B328,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""-"")"),"mithelesh.it23@bitsathy.ac.in")</f>
        <v>mithelesh.it23@bitsathy.ac.in</v>
      </c>
      <c r="L328" s="21" t="str">
        <f>IFERROR(__xludf.DUMMYFUNCTION("XLOOKUP(B328,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""-"")"),"6385710771")</f>
        <v>6385710771</v>
      </c>
      <c r="M328" s="14" t="s">
        <v>71</v>
      </c>
      <c r="N328" s="14" t="s">
        <v>559</v>
      </c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22"/>
      <c r="AA328" s="22"/>
      <c r="AB328" s="22"/>
      <c r="AC328" s="22"/>
      <c r="AD328" s="22"/>
    </row>
    <row r="329">
      <c r="A329" s="21">
        <v>328.0</v>
      </c>
      <c r="B329" s="32" t="s">
        <v>644</v>
      </c>
      <c r="C329" s="16" t="str">
        <f>IFERROR(__xludf.DUMMYFUNCTION("XLOOKUP(B329,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""-"")"),"NADISH  N")</f>
        <v>NADISH  N</v>
      </c>
      <c r="D329" s="17" t="str">
        <f>IFERROR(__xludf.DUMMYFUNCTION("XLOOKUP(B329,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29" s="51" t="s">
        <v>125</v>
      </c>
      <c r="F329" s="14">
        <v>7.09</v>
      </c>
      <c r="G329" s="14" t="s">
        <v>252</v>
      </c>
      <c r="H329" s="14"/>
      <c r="I329" s="14" t="s">
        <v>432</v>
      </c>
      <c r="J329" s="14" t="s">
        <v>585</v>
      </c>
      <c r="K329" s="17" t="str">
        <f>IFERROR(__xludf.DUMMYFUNCTION("XLOOKUP(B329,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""-"")"),"nadish.it23@bitsathy.ac.in")</f>
        <v>nadish.it23@bitsathy.ac.in</v>
      </c>
      <c r="L329" s="21" t="str">
        <f>IFERROR(__xludf.DUMMYFUNCTION("XLOOKUP(B329,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""-"")"),"9080894916")</f>
        <v>9080894916</v>
      </c>
      <c r="M329" s="14" t="s">
        <v>71</v>
      </c>
      <c r="N329" s="14" t="s">
        <v>559</v>
      </c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22"/>
      <c r="AA329" s="22"/>
      <c r="AB329" s="22"/>
      <c r="AC329" s="22"/>
      <c r="AD329" s="22"/>
    </row>
    <row r="330">
      <c r="A330" s="21">
        <v>329.0</v>
      </c>
      <c r="B330" s="32" t="s">
        <v>645</v>
      </c>
      <c r="C330" s="16" t="str">
        <f>IFERROR(__xludf.DUMMYFUNCTION("XLOOKUP(B330,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""-"")"),"NIRMAL KUMAR V")</f>
        <v>NIRMAL KUMAR V</v>
      </c>
      <c r="D330" s="17" t="str">
        <f>IFERROR(__xludf.DUMMYFUNCTION("XLOOKUP(B330,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30" s="51" t="s">
        <v>125</v>
      </c>
      <c r="F330" s="14">
        <v>7.09</v>
      </c>
      <c r="G330" s="14" t="s">
        <v>252</v>
      </c>
      <c r="H330" s="14"/>
      <c r="I330" s="14" t="s">
        <v>432</v>
      </c>
      <c r="J330" s="14" t="s">
        <v>585</v>
      </c>
      <c r="K330" s="17" t="str">
        <f>IFERROR(__xludf.DUMMYFUNCTION("XLOOKUP(B330,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""-"")"),"nirmalkumar.it23@bitsathy.ac.in")</f>
        <v>nirmalkumar.it23@bitsathy.ac.in</v>
      </c>
      <c r="L330" s="21" t="str">
        <f>IFERROR(__xludf.DUMMYFUNCTION("XLOOKUP(B330,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""-"")"),"8825859175")</f>
        <v>8825859175</v>
      </c>
      <c r="M330" s="14" t="s">
        <v>71</v>
      </c>
      <c r="N330" s="14" t="s">
        <v>559</v>
      </c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22"/>
      <c r="AA330" s="22"/>
      <c r="AB330" s="22"/>
      <c r="AC330" s="22"/>
      <c r="AD330" s="22"/>
    </row>
    <row r="331">
      <c r="A331" s="21">
        <v>330.0</v>
      </c>
      <c r="B331" s="32" t="s">
        <v>646</v>
      </c>
      <c r="C331" s="16" t="str">
        <f>IFERROR(__xludf.DUMMYFUNCTION("XLOOKUP(B331,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""-"")"),"PRAMILA  N")</f>
        <v>PRAMILA  N</v>
      </c>
      <c r="D331" s="17" t="str">
        <f>IFERROR(__xludf.DUMMYFUNCTION("XLOOKUP(B331,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31" s="51" t="s">
        <v>125</v>
      </c>
      <c r="F331" s="14">
        <v>7.09</v>
      </c>
      <c r="G331" s="14" t="s">
        <v>252</v>
      </c>
      <c r="H331" s="14"/>
      <c r="I331" s="14" t="s">
        <v>432</v>
      </c>
      <c r="J331" s="14" t="s">
        <v>585</v>
      </c>
      <c r="K331" s="17" t="str">
        <f>IFERROR(__xludf.DUMMYFUNCTION("XLOOKUP(B331,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""-"")"),"pramila.it23@bitsathy.ac.in")</f>
        <v>pramila.it23@bitsathy.ac.in</v>
      </c>
      <c r="L331" s="21" t="str">
        <f>IFERROR(__xludf.DUMMYFUNCTION("XLOOKUP(B331,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""-"")"),"9360184158")</f>
        <v>9360184158</v>
      </c>
      <c r="M331" s="14" t="s">
        <v>71</v>
      </c>
      <c r="N331" s="14" t="s">
        <v>559</v>
      </c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22"/>
      <c r="AA331" s="22"/>
      <c r="AB331" s="22"/>
      <c r="AC331" s="22"/>
      <c r="AD331" s="22"/>
    </row>
    <row r="332">
      <c r="A332" s="21">
        <v>331.0</v>
      </c>
      <c r="B332" s="32" t="s">
        <v>647</v>
      </c>
      <c r="C332" s="16" t="str">
        <f>IFERROR(__xludf.DUMMYFUNCTION("XLOOKUP(B332,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""-"")"),"RAHUL SANJAY G")</f>
        <v>RAHUL SANJAY G</v>
      </c>
      <c r="D332" s="17" t="str">
        <f>IFERROR(__xludf.DUMMYFUNCTION("XLOOKUP(B332,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332" s="51" t="s">
        <v>125</v>
      </c>
      <c r="F332" s="14">
        <v>7.09</v>
      </c>
      <c r="G332" s="14" t="s">
        <v>252</v>
      </c>
      <c r="H332" s="14"/>
      <c r="I332" s="14" t="s">
        <v>432</v>
      </c>
      <c r="J332" s="14" t="s">
        <v>585</v>
      </c>
      <c r="K332" s="17" t="str">
        <f>IFERROR(__xludf.DUMMYFUNCTION("XLOOKUP(B332,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""-"")"),"rahulsanjay.it23@bitsathy.ac.in")</f>
        <v>rahulsanjay.it23@bitsathy.ac.in</v>
      </c>
      <c r="L332" s="21" t="str">
        <f>IFERROR(__xludf.DUMMYFUNCTION("XLOOKUP(B332,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""-"")"),"9842031546")</f>
        <v>9842031546</v>
      </c>
      <c r="M332" s="14" t="s">
        <v>71</v>
      </c>
      <c r="N332" s="14" t="s">
        <v>559</v>
      </c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22"/>
      <c r="AA332" s="22"/>
      <c r="AB332" s="22"/>
      <c r="AC332" s="22"/>
      <c r="AD332" s="22"/>
    </row>
    <row r="333">
      <c r="A333" s="21">
        <v>332.0</v>
      </c>
      <c r="B333" s="32" t="s">
        <v>648</v>
      </c>
      <c r="C333" s="16" t="str">
        <f>IFERROR(__xludf.DUMMYFUNCTION("XLOOKUP(B333,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ZAKI  S")</f>
        <v>MOHAMMED ZAKI  S</v>
      </c>
      <c r="D333" s="17" t="str">
        <f>IFERROR(__xludf.DUMMYFUNCTION("XLOOKUP(B333,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333" s="51" t="s">
        <v>125</v>
      </c>
      <c r="F333" s="14">
        <v>7.09</v>
      </c>
      <c r="G333" s="14" t="s">
        <v>252</v>
      </c>
      <c r="H333" s="14"/>
      <c r="I333" s="14" t="s">
        <v>432</v>
      </c>
      <c r="J333" s="14" t="s">
        <v>585</v>
      </c>
      <c r="K333" s="17" t="str">
        <f>IFERROR(__xludf.DUMMYFUNCTION("XLOOKUP(B333,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""-"")"),"mohammedzaki.mz23@bitsathy.ac.in")</f>
        <v>mohammedzaki.mz23@bitsathy.ac.in</v>
      </c>
      <c r="L333" s="21" t="str">
        <f>IFERROR(__xludf.DUMMYFUNCTION("XLOOKUP(B333,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""-"")"),"8248191664")</f>
        <v>8248191664</v>
      </c>
      <c r="M333" s="14" t="s">
        <v>71</v>
      </c>
      <c r="N333" s="14" t="s">
        <v>559</v>
      </c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22"/>
      <c r="AA333" s="22"/>
      <c r="AB333" s="22"/>
      <c r="AC333" s="22"/>
      <c r="AD333" s="22"/>
    </row>
    <row r="334">
      <c r="A334" s="21">
        <v>333.0</v>
      </c>
      <c r="B334" s="32" t="s">
        <v>394</v>
      </c>
      <c r="C334" s="16" t="str">
        <f>IFERROR(__xludf.DUMMYFUNCTION("XLOOKUP(B334,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""-"")"),"VIDHYA S")</f>
        <v>VIDHYA S</v>
      </c>
      <c r="D334" s="17" t="str">
        <f>IFERROR(__xludf.DUMMYFUNCTION("XLOOKUP(B334,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334" s="51" t="s">
        <v>125</v>
      </c>
      <c r="F334" s="14">
        <v>7.09</v>
      </c>
      <c r="G334" s="14" t="s">
        <v>252</v>
      </c>
      <c r="H334" s="14"/>
      <c r="I334" s="14" t="s">
        <v>432</v>
      </c>
      <c r="J334" s="14" t="s">
        <v>585</v>
      </c>
      <c r="K334" s="17" t="str">
        <f>IFERROR(__xludf.DUMMYFUNCTION("XLOOKUP(B334,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""-"")"),"vidhya.mz23@bitsathy.ac.in")</f>
        <v>vidhya.mz23@bitsathy.ac.in</v>
      </c>
      <c r="L334" s="21" t="str">
        <f>IFERROR(__xludf.DUMMYFUNCTION("XLOOKUP(B334,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""-"")"),"9952696832")</f>
        <v>9952696832</v>
      </c>
      <c r="M334" s="14" t="s">
        <v>71</v>
      </c>
      <c r="N334" s="14" t="s">
        <v>559</v>
      </c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22"/>
      <c r="AA334" s="22"/>
      <c r="AB334" s="22"/>
      <c r="AC334" s="22"/>
      <c r="AD334" s="22"/>
    </row>
    <row r="335">
      <c r="A335" s="21">
        <v>334.0</v>
      </c>
      <c r="B335" s="32" t="s">
        <v>649</v>
      </c>
      <c r="C335" s="16" t="str">
        <f>IFERROR(__xludf.DUMMYFUNCTION("XLOOKUP(B335,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""-"")"),"GURUNISHA S")</f>
        <v>GURUNISHA S</v>
      </c>
      <c r="D335" s="17" t="str">
        <f>IFERROR(__xludf.DUMMYFUNCTION("XLOOKUP(B335,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335" s="51" t="s">
        <v>125</v>
      </c>
      <c r="F335" s="14">
        <v>3.46</v>
      </c>
      <c r="G335" s="14" t="s">
        <v>252</v>
      </c>
      <c r="H335" s="14"/>
      <c r="I335" s="14" t="s">
        <v>432</v>
      </c>
      <c r="J335" s="14" t="s">
        <v>650</v>
      </c>
      <c r="K335" s="17" t="str">
        <f>IFERROR(__xludf.DUMMYFUNCTION("XLOOKUP(B335,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""-"")"),"gurunisha.ad23@bitsathy.ac.in")</f>
        <v>gurunisha.ad23@bitsathy.ac.in</v>
      </c>
      <c r="L335" s="21" t="str">
        <f>IFERROR(__xludf.DUMMYFUNCTION("XLOOKUP(B335,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""-"")"),"9025659624")</f>
        <v>9025659624</v>
      </c>
      <c r="M335" s="14" t="s">
        <v>71</v>
      </c>
      <c r="N335" s="14" t="s">
        <v>559</v>
      </c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22"/>
      <c r="AA335" s="22"/>
      <c r="AB335" s="22"/>
      <c r="AC335" s="22"/>
      <c r="AD335" s="22"/>
    </row>
    <row r="336">
      <c r="A336" s="21">
        <v>335.0</v>
      </c>
      <c r="B336" s="32" t="s">
        <v>651</v>
      </c>
      <c r="C336" s="16" t="str">
        <f>IFERROR(__xludf.DUMMYFUNCTION("XLOOKUP(B336,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""-"")"),"HARSHAN T")</f>
        <v>HARSHAN T</v>
      </c>
      <c r="D336" s="17" t="str">
        <f>IFERROR(__xludf.DUMMYFUNCTION("XLOOKUP(B336,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336" s="51" t="s">
        <v>125</v>
      </c>
      <c r="F336" s="14">
        <v>3.46</v>
      </c>
      <c r="G336" s="14" t="s">
        <v>252</v>
      </c>
      <c r="H336" s="14"/>
      <c r="I336" s="14" t="s">
        <v>432</v>
      </c>
      <c r="J336" s="14" t="s">
        <v>650</v>
      </c>
      <c r="K336" s="17" t="str">
        <f>IFERROR(__xludf.DUMMYFUNCTION("XLOOKUP(B336,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""-"")"),"harshan.ad23@bitsathy.ac.in")</f>
        <v>harshan.ad23@bitsathy.ac.in</v>
      </c>
      <c r="L336" s="21" t="str">
        <f>IFERROR(__xludf.DUMMYFUNCTION("XLOOKUP(B336,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""-"")"),"8778257295")</f>
        <v>8778257295</v>
      </c>
      <c r="M336" s="14" t="s">
        <v>71</v>
      </c>
      <c r="N336" s="14" t="s">
        <v>559</v>
      </c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22"/>
      <c r="AA336" s="22"/>
      <c r="AB336" s="22"/>
      <c r="AC336" s="22"/>
      <c r="AD336" s="22"/>
    </row>
    <row r="337">
      <c r="A337" s="21">
        <v>336.0</v>
      </c>
      <c r="B337" s="32" t="s">
        <v>652</v>
      </c>
      <c r="C337" s="16" t="str">
        <f>IFERROR(__xludf.DUMMYFUNCTION("XLOOKUP(B337,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""-"")"),"JAISRE R")</f>
        <v>JAISRE R</v>
      </c>
      <c r="D337" s="17" t="str">
        <f>IFERROR(__xludf.DUMMYFUNCTION("XLOOKUP(B337,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337" s="51" t="s">
        <v>125</v>
      </c>
      <c r="F337" s="14">
        <v>3.46</v>
      </c>
      <c r="G337" s="14" t="s">
        <v>252</v>
      </c>
      <c r="H337" s="14"/>
      <c r="I337" s="14" t="s">
        <v>432</v>
      </c>
      <c r="J337" s="14" t="s">
        <v>650</v>
      </c>
      <c r="K337" s="17" t="str">
        <f>IFERROR(__xludf.DUMMYFUNCTION("XLOOKUP(B337,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""-"")"),"jaisre.ad23@bitsathy.ac.in")</f>
        <v>jaisre.ad23@bitsathy.ac.in</v>
      </c>
      <c r="L337" s="21" t="str">
        <f>IFERROR(__xludf.DUMMYFUNCTION("XLOOKUP(B337,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""-"")"),"9361240274")</f>
        <v>9361240274</v>
      </c>
      <c r="M337" s="14" t="s">
        <v>71</v>
      </c>
      <c r="N337" s="14" t="s">
        <v>559</v>
      </c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22"/>
      <c r="AA337" s="22"/>
      <c r="AB337" s="22"/>
      <c r="AC337" s="22"/>
      <c r="AD337" s="22"/>
    </row>
    <row r="338">
      <c r="A338" s="21">
        <v>337.0</v>
      </c>
      <c r="B338" s="32" t="s">
        <v>653</v>
      </c>
      <c r="C338" s="16" t="str">
        <f>IFERROR(__xludf.DUMMYFUNCTION("XLOOKUP(B338,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""-"")"),"JEEVA M I")</f>
        <v>JEEVA M I</v>
      </c>
      <c r="D338" s="17" t="str">
        <f>IFERROR(__xludf.DUMMYFUNCTION("XLOOKUP(B338,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338" s="51" t="s">
        <v>125</v>
      </c>
      <c r="F338" s="14">
        <v>3.46</v>
      </c>
      <c r="G338" s="14" t="s">
        <v>252</v>
      </c>
      <c r="H338" s="14"/>
      <c r="I338" s="14" t="s">
        <v>432</v>
      </c>
      <c r="J338" s="14" t="s">
        <v>650</v>
      </c>
      <c r="K338" s="17" t="str">
        <f>IFERROR(__xludf.DUMMYFUNCTION("XLOOKUP(B338,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""-"")"),"jeeva.ad23@bitsathy.ac.in")</f>
        <v>jeeva.ad23@bitsathy.ac.in</v>
      </c>
      <c r="L338" s="21" t="str">
        <f>IFERROR(__xludf.DUMMYFUNCTION("XLOOKUP(B338,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""-"")"),"8825980536")</f>
        <v>8825980536</v>
      </c>
      <c r="M338" s="14" t="s">
        <v>71</v>
      </c>
      <c r="N338" s="14" t="s">
        <v>559</v>
      </c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22"/>
      <c r="AA338" s="22"/>
      <c r="AB338" s="22"/>
      <c r="AC338" s="22"/>
      <c r="AD338" s="22"/>
    </row>
    <row r="339">
      <c r="A339" s="21">
        <v>338.0</v>
      </c>
      <c r="B339" s="32" t="s">
        <v>654</v>
      </c>
      <c r="C339" s="16" t="str">
        <f>IFERROR(__xludf.DUMMYFUNCTION("XLOOKUP(B339,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""-"")"),"PARTHIBAN S")</f>
        <v>PARTHIBAN S</v>
      </c>
      <c r="D339" s="17" t="str">
        <f>IFERROR(__xludf.DUMMYFUNCTION("XLOOKUP(B339,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339" s="51" t="s">
        <v>125</v>
      </c>
      <c r="F339" s="14">
        <v>3.46</v>
      </c>
      <c r="G339" s="14" t="s">
        <v>252</v>
      </c>
      <c r="H339" s="14"/>
      <c r="I339" s="14" t="s">
        <v>432</v>
      </c>
      <c r="J339" s="14" t="s">
        <v>650</v>
      </c>
      <c r="K339" s="17" t="str">
        <f>IFERROR(__xludf.DUMMYFUNCTION("XLOOKUP(B339,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""-"")"),"parthiban.ad23@bitsathy.ac.in")</f>
        <v>parthiban.ad23@bitsathy.ac.in</v>
      </c>
      <c r="L339" s="21" t="str">
        <f>IFERROR(__xludf.DUMMYFUNCTION("XLOOKUP(B339,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""-"")"),"9361911221")</f>
        <v>9361911221</v>
      </c>
      <c r="M339" s="14" t="s">
        <v>71</v>
      </c>
      <c r="N339" s="14" t="s">
        <v>559</v>
      </c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22"/>
      <c r="AA339" s="22"/>
      <c r="AB339" s="22"/>
      <c r="AC339" s="22"/>
      <c r="AD339" s="22"/>
    </row>
    <row r="340">
      <c r="A340" s="21">
        <v>339.0</v>
      </c>
      <c r="B340" s="32" t="s">
        <v>655</v>
      </c>
      <c r="C340" s="16" t="str">
        <f>IFERROR(__xludf.DUMMYFUNCTION("XLOOKUP(B340,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""-"")"),"AKASH G")</f>
        <v>AKASH G</v>
      </c>
      <c r="D340" s="17" t="str">
        <f>IFERROR(__xludf.DUMMYFUNCTION("XLOOKUP(B340,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0" s="51" t="s">
        <v>125</v>
      </c>
      <c r="F340" s="14">
        <v>3.46</v>
      </c>
      <c r="G340" s="14" t="s">
        <v>252</v>
      </c>
      <c r="H340" s="14"/>
      <c r="I340" s="14" t="s">
        <v>432</v>
      </c>
      <c r="J340" s="14" t="s">
        <v>650</v>
      </c>
      <c r="K340" s="17" t="str">
        <f>IFERROR(__xludf.DUMMYFUNCTION("XLOOKUP(B340,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""-"")"),"akash.al23@bitsathy.ac.in")</f>
        <v>akash.al23@bitsathy.ac.in</v>
      </c>
      <c r="L340" s="21" t="str">
        <f>IFERROR(__xludf.DUMMYFUNCTION("XLOOKUP(B340,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""-"")"),"9442326656")</f>
        <v>9442326656</v>
      </c>
      <c r="M340" s="14" t="s">
        <v>71</v>
      </c>
      <c r="N340" s="14" t="s">
        <v>559</v>
      </c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22"/>
      <c r="AA340" s="22"/>
      <c r="AB340" s="22"/>
      <c r="AC340" s="22"/>
      <c r="AD340" s="22"/>
    </row>
    <row r="341">
      <c r="A341" s="21">
        <v>340.0</v>
      </c>
      <c r="B341" s="32" t="s">
        <v>656</v>
      </c>
      <c r="C341" s="16" t="str">
        <f>IFERROR(__xludf.DUMMYFUNCTION("XLOOKUP(B341,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""-"")"),"ASHWIN M")</f>
        <v>ASHWIN M</v>
      </c>
      <c r="D341" s="17" t="str">
        <f>IFERROR(__xludf.DUMMYFUNCTION("XLOOKUP(B341,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1" s="51" t="s">
        <v>125</v>
      </c>
      <c r="F341" s="14">
        <v>3.46</v>
      </c>
      <c r="G341" s="14" t="s">
        <v>252</v>
      </c>
      <c r="H341" s="14"/>
      <c r="I341" s="14" t="s">
        <v>432</v>
      </c>
      <c r="J341" s="14" t="s">
        <v>650</v>
      </c>
      <c r="K341" s="17" t="str">
        <f>IFERROR(__xludf.DUMMYFUNCTION("XLOOKUP(B341,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""-"")"),"ashwin.al23@bitsathy.ac.in")</f>
        <v>ashwin.al23@bitsathy.ac.in</v>
      </c>
      <c r="L341" s="21" t="str">
        <f>IFERROR(__xludf.DUMMYFUNCTION("XLOOKUP(B341,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""-"")"),"9042779817")</f>
        <v>9042779817</v>
      </c>
      <c r="M341" s="14" t="s">
        <v>71</v>
      </c>
      <c r="N341" s="14" t="s">
        <v>559</v>
      </c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22"/>
      <c r="AA341" s="22"/>
      <c r="AB341" s="22"/>
      <c r="AC341" s="22"/>
      <c r="AD341" s="22"/>
    </row>
    <row r="342">
      <c r="A342" s="21">
        <v>341.0</v>
      </c>
      <c r="B342" s="32" t="s">
        <v>657</v>
      </c>
      <c r="C342" s="16" t="str">
        <f>IFERROR(__xludf.DUMMYFUNCTION("XLOOKUP(B342,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""-"")"),"HARJITH K")</f>
        <v>HARJITH K</v>
      </c>
      <c r="D342" s="17" t="str">
        <f>IFERROR(__xludf.DUMMYFUNCTION("XLOOKUP(B342,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2" s="51" t="s">
        <v>125</v>
      </c>
      <c r="F342" s="14">
        <v>3.46</v>
      </c>
      <c r="G342" s="14" t="s">
        <v>252</v>
      </c>
      <c r="H342" s="14"/>
      <c r="I342" s="14" t="s">
        <v>432</v>
      </c>
      <c r="J342" s="14" t="s">
        <v>650</v>
      </c>
      <c r="K342" s="17" t="str">
        <f>IFERROR(__xludf.DUMMYFUNCTION("XLOOKUP(B342,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""-"")"),"harjith.al23@bitsathy.ac.in")</f>
        <v>harjith.al23@bitsathy.ac.in</v>
      </c>
      <c r="L342" s="21" t="str">
        <f>IFERROR(__xludf.DUMMYFUNCTION("XLOOKUP(B342,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""-"")"),"9345343756")</f>
        <v>9345343756</v>
      </c>
      <c r="M342" s="14" t="s">
        <v>71</v>
      </c>
      <c r="N342" s="14" t="s">
        <v>559</v>
      </c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22"/>
      <c r="AA342" s="22"/>
      <c r="AB342" s="22"/>
      <c r="AC342" s="22"/>
      <c r="AD342" s="22"/>
    </row>
    <row r="343">
      <c r="A343" s="21">
        <v>342.0</v>
      </c>
      <c r="B343" s="32" t="s">
        <v>658</v>
      </c>
      <c r="C343" s="16" t="str">
        <f>IFERROR(__xludf.DUMMYFUNCTION("XLOOKUP(B343,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""-"")"),"JAYMITHRAN R")</f>
        <v>JAYMITHRAN R</v>
      </c>
      <c r="D343" s="17" t="str">
        <f>IFERROR(__xludf.DUMMYFUNCTION("XLOOKUP(B343,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3" s="51" t="s">
        <v>125</v>
      </c>
      <c r="F343" s="14">
        <v>3.46</v>
      </c>
      <c r="G343" s="14" t="s">
        <v>252</v>
      </c>
      <c r="H343" s="14"/>
      <c r="I343" s="14" t="s">
        <v>432</v>
      </c>
      <c r="J343" s="14" t="s">
        <v>650</v>
      </c>
      <c r="K343" s="17" t="str">
        <f>IFERROR(__xludf.DUMMYFUNCTION("XLOOKUP(B343,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""-"")"),"jaymithran.al23@bitsathy.ac.in")</f>
        <v>jaymithran.al23@bitsathy.ac.in</v>
      </c>
      <c r="L343" s="21" t="str">
        <f>IFERROR(__xludf.DUMMYFUNCTION("XLOOKUP(B343,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""-"")"),"9843710607")</f>
        <v>9843710607</v>
      </c>
      <c r="M343" s="14" t="s">
        <v>71</v>
      </c>
      <c r="N343" s="14" t="s">
        <v>559</v>
      </c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22"/>
      <c r="AA343" s="22"/>
      <c r="AB343" s="22"/>
      <c r="AC343" s="22"/>
      <c r="AD343" s="22"/>
    </row>
    <row r="344">
      <c r="A344" s="21">
        <v>343.0</v>
      </c>
      <c r="B344" s="32" t="s">
        <v>296</v>
      </c>
      <c r="C344" s="16" t="str">
        <f>IFERROR(__xludf.DUMMYFUNCTION("XLOOKUP(B344,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""-"")"),"KISHORE R")</f>
        <v>KISHORE R</v>
      </c>
      <c r="D344" s="17" t="str">
        <f>IFERROR(__xludf.DUMMYFUNCTION("XLOOKUP(B344,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4" s="51" t="s">
        <v>125</v>
      </c>
      <c r="F344" s="14">
        <v>3.46</v>
      </c>
      <c r="G344" s="14" t="s">
        <v>252</v>
      </c>
      <c r="H344" s="14"/>
      <c r="I344" s="14" t="s">
        <v>432</v>
      </c>
      <c r="J344" s="14" t="s">
        <v>650</v>
      </c>
      <c r="K344" s="17" t="str">
        <f>IFERROR(__xludf.DUMMYFUNCTION("XLOOKUP(B344,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""-"")"),"kishore.al23@bitsathy.ac.in")</f>
        <v>kishore.al23@bitsathy.ac.in</v>
      </c>
      <c r="L344" s="21" t="str">
        <f>IFERROR(__xludf.DUMMYFUNCTION("XLOOKUP(B344,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""-"")"),"8807303469")</f>
        <v>8807303469</v>
      </c>
      <c r="M344" s="14" t="s">
        <v>71</v>
      </c>
      <c r="N344" s="14" t="s">
        <v>559</v>
      </c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22"/>
      <c r="AA344" s="22"/>
      <c r="AB344" s="22"/>
      <c r="AC344" s="22"/>
      <c r="AD344" s="22"/>
    </row>
    <row r="345">
      <c r="A345" s="21">
        <v>344.0</v>
      </c>
      <c r="B345" s="32" t="s">
        <v>659</v>
      </c>
      <c r="C345" s="16" t="str">
        <f>IFERROR(__xludf.DUMMYFUNCTION("XLOOKUP(B345,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""-"")"),"THIRU AADHI S")</f>
        <v>THIRU AADHI S</v>
      </c>
      <c r="D345" s="17" t="str">
        <f>IFERROR(__xludf.DUMMYFUNCTION("XLOOKUP(B345,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345" s="51" t="s">
        <v>125</v>
      </c>
      <c r="F345" s="14">
        <v>3.46</v>
      </c>
      <c r="G345" s="14" t="s">
        <v>252</v>
      </c>
      <c r="H345" s="14"/>
      <c r="I345" s="14" t="s">
        <v>432</v>
      </c>
      <c r="J345" s="14" t="s">
        <v>650</v>
      </c>
      <c r="K345" s="17" t="str">
        <f>IFERROR(__xludf.DUMMYFUNCTION("XLOOKUP(B345,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""-"")"),"thiruaadhi.al23@bitsathy.ac.in")</f>
        <v>thiruaadhi.al23@bitsathy.ac.in</v>
      </c>
      <c r="L345" s="21" t="str">
        <f>IFERROR(__xludf.DUMMYFUNCTION("XLOOKUP(B345,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""-"")"),"9345333029")</f>
        <v>9345333029</v>
      </c>
      <c r="M345" s="14" t="s">
        <v>71</v>
      </c>
      <c r="N345" s="14" t="s">
        <v>559</v>
      </c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22"/>
      <c r="AA345" s="22"/>
      <c r="AB345" s="22"/>
      <c r="AC345" s="22"/>
      <c r="AD345" s="22"/>
    </row>
    <row r="346">
      <c r="A346" s="21">
        <v>345.0</v>
      </c>
      <c r="B346" s="32" t="s">
        <v>660</v>
      </c>
      <c r="C346" s="16" t="str">
        <f>IFERROR(__xludf.DUMMYFUNCTION("XLOOKUP(B346,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""-"")"),"KEERTHANA R")</f>
        <v>KEERTHANA R</v>
      </c>
      <c r="D346" s="17" t="str">
        <f>IFERROR(__xludf.DUMMYFUNCTION("XLOOKUP(B346,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346" s="51" t="s">
        <v>125</v>
      </c>
      <c r="F346" s="14">
        <v>3.46</v>
      </c>
      <c r="G346" s="14" t="s">
        <v>252</v>
      </c>
      <c r="H346" s="14"/>
      <c r="I346" s="14" t="s">
        <v>432</v>
      </c>
      <c r="J346" s="14" t="s">
        <v>650</v>
      </c>
      <c r="K346" s="17" t="str">
        <f>IFERROR(__xludf.DUMMYFUNCTION("XLOOKUP(B346,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""-"")"),"keerthana.bt23@bitsathy.ac.in")</f>
        <v>keerthana.bt23@bitsathy.ac.in</v>
      </c>
      <c r="L346" s="21" t="str">
        <f>IFERROR(__xludf.DUMMYFUNCTION("XLOOKUP(B346,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""-"")"),"6380478446")</f>
        <v>6380478446</v>
      </c>
      <c r="M346" s="14" t="s">
        <v>71</v>
      </c>
      <c r="N346" s="14" t="s">
        <v>559</v>
      </c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22"/>
      <c r="AA346" s="22"/>
      <c r="AB346" s="22"/>
      <c r="AC346" s="22"/>
      <c r="AD346" s="22"/>
    </row>
    <row r="347">
      <c r="A347" s="21">
        <v>346.0</v>
      </c>
      <c r="B347" s="32" t="s">
        <v>661</v>
      </c>
      <c r="C347" s="16" t="str">
        <f>IFERROR(__xludf.DUMMYFUNCTION("XLOOKUP(B347,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""-"")"),"SNEHA T")</f>
        <v>SNEHA T</v>
      </c>
      <c r="D347" s="17" t="str">
        <f>IFERROR(__xludf.DUMMYFUNCTION("XLOOKUP(B347,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347" s="51" t="s">
        <v>125</v>
      </c>
      <c r="F347" s="14">
        <v>3.46</v>
      </c>
      <c r="G347" s="14" t="s">
        <v>252</v>
      </c>
      <c r="H347" s="14"/>
      <c r="I347" s="14" t="s">
        <v>432</v>
      </c>
      <c r="J347" s="14" t="s">
        <v>650</v>
      </c>
      <c r="K347" s="17" t="str">
        <f>IFERROR(__xludf.DUMMYFUNCTION("XLOOKUP(B347,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""-"")"),"sneha.cb23@bitsathy.ac.in")</f>
        <v>sneha.cb23@bitsathy.ac.in</v>
      </c>
      <c r="L347" s="21" t="str">
        <f>IFERROR(__xludf.DUMMYFUNCTION("XLOOKUP(B347,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""-"")"),"9042910991")</f>
        <v>9042910991</v>
      </c>
      <c r="M347" s="14" t="s">
        <v>71</v>
      </c>
      <c r="N347" s="14" t="s">
        <v>559</v>
      </c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22"/>
      <c r="AA347" s="22"/>
      <c r="AB347" s="22"/>
      <c r="AC347" s="22"/>
      <c r="AD347" s="22"/>
    </row>
    <row r="348">
      <c r="A348" s="21">
        <v>347.0</v>
      </c>
      <c r="B348" s="32" t="s">
        <v>662</v>
      </c>
      <c r="C348" s="16" t="str">
        <f>IFERROR(__xludf.DUMMYFUNCTION("XLOOKUP(B348,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""-"")"),"RAMESH S")</f>
        <v>RAMESH S</v>
      </c>
      <c r="D348" s="17" t="str">
        <f>IFERROR(__xludf.DUMMYFUNCTION("XLOOKUP(B348,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348" s="51" t="s">
        <v>125</v>
      </c>
      <c r="F348" s="14">
        <v>3.46</v>
      </c>
      <c r="G348" s="14" t="s">
        <v>252</v>
      </c>
      <c r="H348" s="14"/>
      <c r="I348" s="14" t="s">
        <v>432</v>
      </c>
      <c r="J348" s="14" t="s">
        <v>650</v>
      </c>
      <c r="K348" s="17" t="str">
        <f>IFERROR(__xludf.DUMMYFUNCTION("XLOOKUP(B348,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""-"")"),"ramesh.cd23@bitsathy.ac.in")</f>
        <v>ramesh.cd23@bitsathy.ac.in</v>
      </c>
      <c r="L348" s="21" t="str">
        <f>IFERROR(__xludf.DUMMYFUNCTION("XLOOKUP(B348,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""-"")"),"9042943953")</f>
        <v>9042943953</v>
      </c>
      <c r="M348" s="14" t="s">
        <v>71</v>
      </c>
      <c r="N348" s="14" t="s">
        <v>559</v>
      </c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22"/>
      <c r="AA348" s="22"/>
      <c r="AB348" s="22"/>
      <c r="AC348" s="22"/>
      <c r="AD348" s="22"/>
    </row>
    <row r="349">
      <c r="A349" s="21">
        <v>348.0</v>
      </c>
      <c r="B349" s="32" t="s">
        <v>663</v>
      </c>
      <c r="C349" s="16" t="str">
        <f>IFERROR(__xludf.DUMMYFUNCTION("XLOOKUP(B349,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""-"")"),"PRASHANNA S R")</f>
        <v>PRASHANNA S R</v>
      </c>
      <c r="D349" s="17" t="str">
        <f>IFERROR(__xludf.DUMMYFUNCTION("XLOOKUP(B349,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49" s="51" t="s">
        <v>125</v>
      </c>
      <c r="F349" s="14">
        <v>3.46</v>
      </c>
      <c r="G349" s="14" t="s">
        <v>252</v>
      </c>
      <c r="H349" s="14"/>
      <c r="I349" s="14" t="s">
        <v>432</v>
      </c>
      <c r="J349" s="14" t="s">
        <v>650</v>
      </c>
      <c r="K349" s="17" t="str">
        <f>IFERROR(__xludf.DUMMYFUNCTION("XLOOKUP(B349,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""-"")"),"prashanna.cs23@bitsathy.ac.in")</f>
        <v>prashanna.cs23@bitsathy.ac.in</v>
      </c>
      <c r="L349" s="21" t="str">
        <f>IFERROR(__xludf.DUMMYFUNCTION("XLOOKUP(B349,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""-"")"),"6382557293")</f>
        <v>6382557293</v>
      </c>
      <c r="M349" s="14" t="s">
        <v>71</v>
      </c>
      <c r="N349" s="14" t="s">
        <v>559</v>
      </c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22"/>
      <c r="AA349" s="22"/>
      <c r="AB349" s="22"/>
      <c r="AC349" s="22"/>
      <c r="AD349" s="22"/>
    </row>
    <row r="350">
      <c r="A350" s="21">
        <v>349.0</v>
      </c>
      <c r="B350" s="32" t="s">
        <v>664</v>
      </c>
      <c r="C350" s="16" t="str">
        <f>IFERROR(__xludf.DUMMYFUNCTION("XLOOKUP(B350,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""-"")"),"SELVAPRAVEEN S")</f>
        <v>SELVAPRAVEEN S</v>
      </c>
      <c r="D350" s="17" t="str">
        <f>IFERROR(__xludf.DUMMYFUNCTION("XLOOKUP(B350,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50" s="51" t="s">
        <v>125</v>
      </c>
      <c r="F350" s="14">
        <v>3.46</v>
      </c>
      <c r="G350" s="14" t="s">
        <v>252</v>
      </c>
      <c r="H350" s="14"/>
      <c r="I350" s="14" t="s">
        <v>432</v>
      </c>
      <c r="J350" s="14" t="s">
        <v>650</v>
      </c>
      <c r="K350" s="17" t="str">
        <f>IFERROR(__xludf.DUMMYFUNCTION("XLOOKUP(B350,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""-"")"),"selvapraveen.cs23@bitsathy.ac.in")</f>
        <v>selvapraveen.cs23@bitsathy.ac.in</v>
      </c>
      <c r="L350" s="21" t="str">
        <f>IFERROR(__xludf.DUMMYFUNCTION("XLOOKUP(B350,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""-"")"),"9025174530")</f>
        <v>9025174530</v>
      </c>
      <c r="M350" s="14" t="s">
        <v>71</v>
      </c>
      <c r="N350" s="14" t="s">
        <v>559</v>
      </c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22"/>
      <c r="AA350" s="22"/>
      <c r="AB350" s="22"/>
      <c r="AC350" s="22"/>
      <c r="AD350" s="22"/>
    </row>
    <row r="351">
      <c r="A351" s="21">
        <v>350.0</v>
      </c>
      <c r="B351" s="32" t="s">
        <v>665</v>
      </c>
      <c r="C351" s="16" t="str">
        <f>IFERROR(__xludf.DUMMYFUNCTION("XLOOKUP(B351,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""-"")"),"SOUNDARYA  R")</f>
        <v>SOUNDARYA  R</v>
      </c>
      <c r="D351" s="17" t="str">
        <f>IFERROR(__xludf.DUMMYFUNCTION("XLOOKUP(B351,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51" s="51" t="s">
        <v>125</v>
      </c>
      <c r="F351" s="14">
        <v>3.46</v>
      </c>
      <c r="G351" s="14" t="s">
        <v>252</v>
      </c>
      <c r="H351" s="14"/>
      <c r="I351" s="14" t="s">
        <v>432</v>
      </c>
      <c r="J351" s="14" t="s">
        <v>650</v>
      </c>
      <c r="K351" s="17" t="str">
        <f>IFERROR(__xludf.DUMMYFUNCTION("XLOOKUP(B351,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""-"")"),"soundarya.cs23@bitsathy.ac.in")</f>
        <v>soundarya.cs23@bitsathy.ac.in</v>
      </c>
      <c r="L351" s="21" t="str">
        <f>IFERROR(__xludf.DUMMYFUNCTION("XLOOKUP(B351,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""-"")"),"8220588900")</f>
        <v>8220588900</v>
      </c>
      <c r="M351" s="14" t="s">
        <v>71</v>
      </c>
      <c r="N351" s="14" t="s">
        <v>559</v>
      </c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22"/>
      <c r="AA351" s="22"/>
      <c r="AB351" s="22"/>
      <c r="AC351" s="22"/>
      <c r="AD351" s="22"/>
    </row>
    <row r="352">
      <c r="A352" s="21">
        <v>351.0</v>
      </c>
      <c r="B352" s="32" t="s">
        <v>666</v>
      </c>
      <c r="C352" s="16" t="str">
        <f>IFERROR(__xludf.DUMMYFUNCTION("XLOOKUP(B352,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""-"")"),"VENKATAKRISHNAN S")</f>
        <v>VENKATAKRISHNAN S</v>
      </c>
      <c r="D352" s="17" t="str">
        <f>IFERROR(__xludf.DUMMYFUNCTION("XLOOKUP(B352,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352" s="51" t="s">
        <v>125</v>
      </c>
      <c r="F352" s="14">
        <v>3.46</v>
      </c>
      <c r="G352" s="14" t="s">
        <v>252</v>
      </c>
      <c r="H352" s="14"/>
      <c r="I352" s="14" t="s">
        <v>432</v>
      </c>
      <c r="J352" s="14" t="s">
        <v>650</v>
      </c>
      <c r="K352" s="17" t="str">
        <f>IFERROR(__xludf.DUMMYFUNCTION("XLOOKUP(B352,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""-"")"),"venkatakrishnan.cs23@bitsathy.ac.in")</f>
        <v>venkatakrishnan.cs23@bitsathy.ac.in</v>
      </c>
      <c r="L352" s="21" t="str">
        <f>IFERROR(__xludf.DUMMYFUNCTION("XLOOKUP(B352,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""-"")"),"9363626467")</f>
        <v>9363626467</v>
      </c>
      <c r="M352" s="14" t="s">
        <v>71</v>
      </c>
      <c r="N352" s="14" t="s">
        <v>559</v>
      </c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22"/>
      <c r="AA352" s="22"/>
      <c r="AB352" s="22"/>
      <c r="AC352" s="22"/>
      <c r="AD352" s="22"/>
    </row>
    <row r="353">
      <c r="A353" s="21">
        <v>352.0</v>
      </c>
      <c r="B353" s="32" t="s">
        <v>667</v>
      </c>
      <c r="C353" s="16" t="str">
        <f>IFERROR(__xludf.DUMMYFUNCTION("XLOOKUP(B353,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""-"")"),"KAUSHI K S")</f>
        <v>KAUSHI K S</v>
      </c>
      <c r="D353" s="17" t="str">
        <f>IFERROR(__xludf.DUMMYFUNCTION("XLOOKUP(B353,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53" s="51" t="s">
        <v>125</v>
      </c>
      <c r="F353" s="14">
        <v>3.46</v>
      </c>
      <c r="G353" s="14" t="s">
        <v>252</v>
      </c>
      <c r="H353" s="14"/>
      <c r="I353" s="14" t="s">
        <v>432</v>
      </c>
      <c r="J353" s="14" t="s">
        <v>650</v>
      </c>
      <c r="K353" s="17" t="str">
        <f>IFERROR(__xludf.DUMMYFUNCTION("XLOOKUP(B353,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""-"")"),"kaushi.ct23@bitsathy.ac.in")</f>
        <v>kaushi.ct23@bitsathy.ac.in</v>
      </c>
      <c r="L353" s="21" t="str">
        <f>IFERROR(__xludf.DUMMYFUNCTION("XLOOKUP(B353,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""-"")"),"9360382869")</f>
        <v>9360382869</v>
      </c>
      <c r="M353" s="14" t="s">
        <v>71</v>
      </c>
      <c r="N353" s="14" t="s">
        <v>559</v>
      </c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22"/>
      <c r="AA353" s="22"/>
      <c r="AB353" s="22"/>
      <c r="AC353" s="22"/>
      <c r="AD353" s="22"/>
    </row>
    <row r="354">
      <c r="A354" s="21">
        <v>353.0</v>
      </c>
      <c r="B354" s="32" t="s">
        <v>668</v>
      </c>
      <c r="C354" s="16" t="str">
        <f>IFERROR(__xludf.DUMMYFUNCTION("XLOOKUP(B354,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""-"")"),"SHAJANA MIRSHA I")</f>
        <v>SHAJANA MIRSHA I</v>
      </c>
      <c r="D354" s="17" t="str">
        <f>IFERROR(__xludf.DUMMYFUNCTION("XLOOKUP(B354,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54" s="51" t="s">
        <v>125</v>
      </c>
      <c r="F354" s="14">
        <v>3.46</v>
      </c>
      <c r="G354" s="14" t="s">
        <v>252</v>
      </c>
      <c r="H354" s="14"/>
      <c r="I354" s="14" t="s">
        <v>432</v>
      </c>
      <c r="J354" s="14" t="s">
        <v>650</v>
      </c>
      <c r="K354" s="17" t="str">
        <f>IFERROR(__xludf.DUMMYFUNCTION("XLOOKUP(B354,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""-"")"),"shajanamirsha.ct23@bitsathy.ac.in")</f>
        <v>shajanamirsha.ct23@bitsathy.ac.in</v>
      </c>
      <c r="L354" s="21" t="str">
        <f>IFERROR(__xludf.DUMMYFUNCTION("XLOOKUP(B354,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""-"")"),"6374194542")</f>
        <v>6374194542</v>
      </c>
      <c r="M354" s="14" t="s">
        <v>71</v>
      </c>
      <c r="N354" s="14" t="s">
        <v>559</v>
      </c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22"/>
      <c r="AA354" s="22"/>
      <c r="AB354" s="22"/>
      <c r="AC354" s="22"/>
      <c r="AD354" s="22"/>
    </row>
    <row r="355">
      <c r="A355" s="21">
        <v>354.0</v>
      </c>
      <c r="B355" s="32" t="s">
        <v>669</v>
      </c>
      <c r="C355" s="16" t="str">
        <f>IFERROR(__xludf.DUMMYFUNCTION("XLOOKUP(B355,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""-"")"),"VIGNESH M")</f>
        <v>VIGNESH M</v>
      </c>
      <c r="D355" s="17" t="str">
        <f>IFERROR(__xludf.DUMMYFUNCTION("XLOOKUP(B355,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355" s="51" t="s">
        <v>125</v>
      </c>
      <c r="F355" s="14">
        <v>3.46</v>
      </c>
      <c r="G355" s="14" t="s">
        <v>252</v>
      </c>
      <c r="H355" s="14"/>
      <c r="I355" s="14" t="s">
        <v>432</v>
      </c>
      <c r="J355" s="14" t="s">
        <v>650</v>
      </c>
      <c r="K355" s="17" t="str">
        <f>IFERROR(__xludf.DUMMYFUNCTION("XLOOKUP(B355,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""-"")"),"vignesh.ct23@bitsathy.ac.in")</f>
        <v>vignesh.ct23@bitsathy.ac.in</v>
      </c>
      <c r="L355" s="21" t="str">
        <f>IFERROR(__xludf.DUMMYFUNCTION("XLOOKUP(B355,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""-"")"),"8248415902")</f>
        <v>8248415902</v>
      </c>
      <c r="M355" s="14" t="s">
        <v>71</v>
      </c>
      <c r="N355" s="14" t="s">
        <v>559</v>
      </c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22"/>
      <c r="AA355" s="22"/>
      <c r="AB355" s="22"/>
      <c r="AC355" s="22"/>
      <c r="AD355" s="22"/>
    </row>
    <row r="356">
      <c r="A356" s="21">
        <v>355.0</v>
      </c>
      <c r="B356" s="32" t="s">
        <v>670</v>
      </c>
      <c r="C356" s="16" t="str">
        <f>IFERROR(__xludf.DUMMYFUNCTION("XLOOKUP(B356,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""-"")"),"ANANTHIKA  A")</f>
        <v>ANANTHIKA  A</v>
      </c>
      <c r="D356" s="17" t="str">
        <f>IFERROR(__xludf.DUMMYFUNCTION("XLOOKUP(B356,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56" s="51" t="s">
        <v>125</v>
      </c>
      <c r="F356" s="14">
        <v>3.46</v>
      </c>
      <c r="G356" s="14" t="s">
        <v>252</v>
      </c>
      <c r="H356" s="14"/>
      <c r="I356" s="14" t="s">
        <v>432</v>
      </c>
      <c r="J356" s="14" t="s">
        <v>650</v>
      </c>
      <c r="K356" s="17" t="str">
        <f>IFERROR(__xludf.DUMMYFUNCTION("XLOOKUP(B356,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""-"")"),"ananthika.ee23@bitsathy.ac.in")</f>
        <v>ananthika.ee23@bitsathy.ac.in</v>
      </c>
      <c r="L356" s="21" t="str">
        <f>IFERROR(__xludf.DUMMYFUNCTION("XLOOKUP(B356,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""-"")"),"9442561873")</f>
        <v>9442561873</v>
      </c>
      <c r="M356" s="14" t="s">
        <v>71</v>
      </c>
      <c r="N356" s="14" t="s">
        <v>559</v>
      </c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22"/>
      <c r="AA356" s="22"/>
      <c r="AB356" s="22"/>
      <c r="AC356" s="22"/>
      <c r="AD356" s="22"/>
    </row>
    <row r="357">
      <c r="A357" s="21">
        <v>356.0</v>
      </c>
      <c r="B357" s="32" t="s">
        <v>671</v>
      </c>
      <c r="C357" s="16" t="str">
        <f>IFERROR(__xludf.DUMMYFUNCTION("XLOOKUP(B357,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""-"")"),"JEBASTIN JOSEPH PAUL J")</f>
        <v>JEBASTIN JOSEPH PAUL J</v>
      </c>
      <c r="D357" s="17" t="str">
        <f>IFERROR(__xludf.DUMMYFUNCTION("XLOOKUP(B357,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57" s="51" t="s">
        <v>125</v>
      </c>
      <c r="F357" s="14">
        <v>3.46</v>
      </c>
      <c r="G357" s="14" t="s">
        <v>252</v>
      </c>
      <c r="H357" s="14"/>
      <c r="I357" s="14" t="s">
        <v>432</v>
      </c>
      <c r="J357" s="14" t="s">
        <v>650</v>
      </c>
      <c r="K357" s="17" t="str">
        <f>IFERROR(__xludf.DUMMYFUNCTION("XLOOKUP(B357,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""-"")"),"jebastinjosephpaul.ee23@bitsathy.ac.in")</f>
        <v>jebastinjosephpaul.ee23@bitsathy.ac.in</v>
      </c>
      <c r="L357" s="21" t="str">
        <f>IFERROR(__xludf.DUMMYFUNCTION("XLOOKUP(B357,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""-"")"),"7598842404")</f>
        <v>7598842404</v>
      </c>
      <c r="M357" s="14" t="s">
        <v>71</v>
      </c>
      <c r="N357" s="14" t="s">
        <v>559</v>
      </c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22"/>
      <c r="AA357" s="22"/>
      <c r="AB357" s="22"/>
      <c r="AC357" s="22"/>
      <c r="AD357" s="22"/>
    </row>
    <row r="358">
      <c r="A358" s="21">
        <v>357.0</v>
      </c>
      <c r="B358" s="32" t="s">
        <v>672</v>
      </c>
      <c r="C358" s="16" t="str">
        <f>IFERROR(__xludf.DUMMYFUNCTION("XLOOKUP(B358,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""-"")"),"KAMALESH A P")</f>
        <v>KAMALESH A P</v>
      </c>
      <c r="D358" s="17" t="str">
        <f>IFERROR(__xludf.DUMMYFUNCTION("XLOOKUP(B358,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58" s="51" t="s">
        <v>125</v>
      </c>
      <c r="F358" s="14">
        <v>3.46</v>
      </c>
      <c r="G358" s="14" t="s">
        <v>252</v>
      </c>
      <c r="H358" s="14"/>
      <c r="I358" s="14" t="s">
        <v>432</v>
      </c>
      <c r="J358" s="14" t="s">
        <v>650</v>
      </c>
      <c r="K358" s="17" t="str">
        <f>IFERROR(__xludf.DUMMYFUNCTION("XLOOKUP(B358,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""-"")"),"kamalesh.ee23@bitsathy.ac.in")</f>
        <v>kamalesh.ee23@bitsathy.ac.in</v>
      </c>
      <c r="L358" s="21" t="str">
        <f>IFERROR(__xludf.DUMMYFUNCTION("XLOOKUP(B358,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""-"")"),"9842097898")</f>
        <v>9842097898</v>
      </c>
      <c r="M358" s="14" t="s">
        <v>71</v>
      </c>
      <c r="N358" s="14" t="s">
        <v>559</v>
      </c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22"/>
      <c r="AA358" s="22"/>
      <c r="AB358" s="22"/>
      <c r="AC358" s="22"/>
      <c r="AD358" s="22"/>
    </row>
    <row r="359">
      <c r="A359" s="21">
        <v>358.0</v>
      </c>
      <c r="B359" s="32" t="s">
        <v>673</v>
      </c>
      <c r="C359" s="16" t="str">
        <f>IFERROR(__xludf.DUMMYFUNCTION("XLOOKUP(B359,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""-"")"),"KAVITHA M")</f>
        <v>KAVITHA M</v>
      </c>
      <c r="D359" s="17" t="str">
        <f>IFERROR(__xludf.DUMMYFUNCTION("XLOOKUP(B359,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59" s="51" t="s">
        <v>125</v>
      </c>
      <c r="F359" s="14">
        <v>3.46</v>
      </c>
      <c r="G359" s="14" t="s">
        <v>252</v>
      </c>
      <c r="H359" s="14"/>
      <c r="I359" s="14" t="s">
        <v>432</v>
      </c>
      <c r="J359" s="14" t="s">
        <v>650</v>
      </c>
      <c r="K359" s="17" t="str">
        <f>IFERROR(__xludf.DUMMYFUNCTION("XLOOKUP(B359,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""-"")"),"kavitha.ee23@bitsathy.ac.in")</f>
        <v>kavitha.ee23@bitsathy.ac.in</v>
      </c>
      <c r="L359" s="21" t="str">
        <f>IFERROR(__xludf.DUMMYFUNCTION("XLOOKUP(B359,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""-"")"),"9042360672")</f>
        <v>9042360672</v>
      </c>
      <c r="M359" s="14" t="s">
        <v>71</v>
      </c>
      <c r="N359" s="14" t="s">
        <v>559</v>
      </c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22"/>
      <c r="AA359" s="22"/>
      <c r="AB359" s="22"/>
      <c r="AC359" s="22"/>
      <c r="AD359" s="22"/>
    </row>
    <row r="360">
      <c r="A360" s="21">
        <v>359.0</v>
      </c>
      <c r="B360" s="32" t="s">
        <v>674</v>
      </c>
      <c r="C360" s="16" t="str">
        <f>IFERROR(__xludf.DUMMYFUNCTION("XLOOKUP(B360,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""-"")"),"KHAJA PARVEZ T")</f>
        <v>KHAJA PARVEZ T</v>
      </c>
      <c r="D360" s="17" t="str">
        <f>IFERROR(__xludf.DUMMYFUNCTION("XLOOKUP(B360,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60" s="51" t="s">
        <v>125</v>
      </c>
      <c r="F360" s="14">
        <v>3.46</v>
      </c>
      <c r="G360" s="14" t="s">
        <v>252</v>
      </c>
      <c r="H360" s="14"/>
      <c r="I360" s="14" t="s">
        <v>432</v>
      </c>
      <c r="J360" s="14" t="s">
        <v>650</v>
      </c>
      <c r="K360" s="17" t="str">
        <f>IFERROR(__xludf.DUMMYFUNCTION("XLOOKUP(B360,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""-"")"),"khajaparvez.ee23@bitsathy.ac.in")</f>
        <v>khajaparvez.ee23@bitsathy.ac.in</v>
      </c>
      <c r="L360" s="21" t="str">
        <f>IFERROR(__xludf.DUMMYFUNCTION("XLOOKUP(B360,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""-"")"),"7904570301")</f>
        <v>7904570301</v>
      </c>
      <c r="M360" s="14" t="s">
        <v>71</v>
      </c>
      <c r="N360" s="14" t="s">
        <v>559</v>
      </c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22"/>
      <c r="AA360" s="22"/>
      <c r="AB360" s="22"/>
      <c r="AC360" s="22"/>
      <c r="AD360" s="22"/>
    </row>
    <row r="361">
      <c r="A361" s="21">
        <v>360.0</v>
      </c>
      <c r="B361" s="32" t="s">
        <v>675</v>
      </c>
      <c r="C361" s="16" t="str">
        <f>IFERROR(__xludf.DUMMYFUNCTION("XLOOKUP(B361,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""-"")"),"MITHUN  P P")</f>
        <v>MITHUN  P P</v>
      </c>
      <c r="D361" s="17" t="str">
        <f>IFERROR(__xludf.DUMMYFUNCTION("XLOOKUP(B361,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61" s="51" t="s">
        <v>125</v>
      </c>
      <c r="F361" s="14">
        <v>3.46</v>
      </c>
      <c r="G361" s="14" t="s">
        <v>252</v>
      </c>
      <c r="H361" s="14"/>
      <c r="I361" s="14" t="s">
        <v>432</v>
      </c>
      <c r="J361" s="14" t="s">
        <v>650</v>
      </c>
      <c r="K361" s="17" t="str">
        <f>IFERROR(__xludf.DUMMYFUNCTION("XLOOKUP(B361,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""-"")"),"mithun.ee23@bitsathy.ac.in")</f>
        <v>mithun.ee23@bitsathy.ac.in</v>
      </c>
      <c r="L361" s="21" t="str">
        <f>IFERROR(__xludf.DUMMYFUNCTION("XLOOKUP(B361,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""-"")"),"7810082087")</f>
        <v>7810082087</v>
      </c>
      <c r="M361" s="14" t="s">
        <v>71</v>
      </c>
      <c r="N361" s="14" t="s">
        <v>559</v>
      </c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22"/>
      <c r="AA361" s="22"/>
      <c r="AB361" s="22"/>
      <c r="AC361" s="22"/>
      <c r="AD361" s="22"/>
    </row>
    <row r="362">
      <c r="A362" s="21">
        <v>361.0</v>
      </c>
      <c r="B362" s="32" t="s">
        <v>676</v>
      </c>
      <c r="C362" s="16" t="str">
        <f>IFERROR(__xludf.DUMMYFUNCTION("XLOOKUP(B362,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""-"")"),"PRAVIN RAJ  P")</f>
        <v>PRAVIN RAJ  P</v>
      </c>
      <c r="D362" s="17" t="str">
        <f>IFERROR(__xludf.DUMMYFUNCTION("XLOOKUP(B362,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62" s="51" t="s">
        <v>125</v>
      </c>
      <c r="F362" s="14">
        <v>3.46</v>
      </c>
      <c r="G362" s="14" t="s">
        <v>252</v>
      </c>
      <c r="H362" s="14"/>
      <c r="I362" s="14" t="s">
        <v>432</v>
      </c>
      <c r="J362" s="14" t="s">
        <v>650</v>
      </c>
      <c r="K362" s="17" t="str">
        <f>IFERROR(__xludf.DUMMYFUNCTION("XLOOKUP(B362,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""-"")"),"pravinraj.ee23@bitsathy.ac.in")</f>
        <v>pravinraj.ee23@bitsathy.ac.in</v>
      </c>
      <c r="L362" s="21" t="str">
        <f>IFERROR(__xludf.DUMMYFUNCTION("XLOOKUP(B362,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""-"")"),"9080246714")</f>
        <v>9080246714</v>
      </c>
      <c r="M362" s="14" t="s">
        <v>71</v>
      </c>
      <c r="N362" s="14" t="s">
        <v>559</v>
      </c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22"/>
      <c r="AA362" s="22"/>
      <c r="AB362" s="22"/>
      <c r="AC362" s="22"/>
      <c r="AD362" s="22"/>
    </row>
    <row r="363">
      <c r="A363" s="21">
        <v>362.0</v>
      </c>
      <c r="B363" s="32" t="s">
        <v>677</v>
      </c>
      <c r="C363" s="16" t="str">
        <f>IFERROR(__xludf.DUMMYFUNCTION("XLOOKUP(B363,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""-"")"),"RAGUPATHI M")</f>
        <v>RAGUPATHI M</v>
      </c>
      <c r="D363" s="17" t="str">
        <f>IFERROR(__xludf.DUMMYFUNCTION("XLOOKUP(B363,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363" s="51" t="s">
        <v>125</v>
      </c>
      <c r="F363" s="14">
        <v>3.46</v>
      </c>
      <c r="G363" s="14" t="s">
        <v>252</v>
      </c>
      <c r="H363" s="14"/>
      <c r="I363" s="14" t="s">
        <v>432</v>
      </c>
      <c r="J363" s="14" t="s">
        <v>650</v>
      </c>
      <c r="K363" s="17" t="str">
        <f>IFERROR(__xludf.DUMMYFUNCTION("XLOOKUP(B363,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""-"")"),"ragupathi.ee23@bitsathy.ac.in")</f>
        <v>ragupathi.ee23@bitsathy.ac.in</v>
      </c>
      <c r="L363" s="21" t="str">
        <f>IFERROR(__xludf.DUMMYFUNCTION("XLOOKUP(B363,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""-"")"),"8248787290")</f>
        <v>8248787290</v>
      </c>
      <c r="M363" s="14" t="s">
        <v>71</v>
      </c>
      <c r="N363" s="14" t="s">
        <v>559</v>
      </c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22"/>
      <c r="AA363" s="22"/>
      <c r="AB363" s="22"/>
      <c r="AC363" s="22"/>
      <c r="AD363" s="22"/>
    </row>
    <row r="364">
      <c r="A364" s="21">
        <v>363.0</v>
      </c>
      <c r="B364" s="32" t="s">
        <v>678</v>
      </c>
      <c r="C364" s="16" t="str">
        <f>IFERROR(__xludf.DUMMYFUNCTION("XLOOKUP(B364,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""-"")"),"ABINAYA  S")</f>
        <v>ABINAYA  S</v>
      </c>
      <c r="D364" s="17" t="str">
        <f>IFERROR(__xludf.DUMMYFUNCTION("XLOOKUP(B364,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4" s="51" t="s">
        <v>125</v>
      </c>
      <c r="F364" s="14">
        <v>3.46</v>
      </c>
      <c r="G364" s="14" t="s">
        <v>252</v>
      </c>
      <c r="H364" s="14"/>
      <c r="I364" s="14" t="s">
        <v>432</v>
      </c>
      <c r="J364" s="14" t="s">
        <v>650</v>
      </c>
      <c r="K364" s="17" t="str">
        <f>IFERROR(__xludf.DUMMYFUNCTION("XLOOKUP(B364,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""-"")"),"abinaya.ec23@bitsathy.ac.in")</f>
        <v>abinaya.ec23@bitsathy.ac.in</v>
      </c>
      <c r="L364" s="21" t="str">
        <f>IFERROR(__xludf.DUMMYFUNCTION("XLOOKUP(B364,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""-"")"),"7708854661")</f>
        <v>7708854661</v>
      </c>
      <c r="M364" s="14" t="s">
        <v>71</v>
      </c>
      <c r="N364" s="14" t="s">
        <v>559</v>
      </c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22"/>
      <c r="AA364" s="22"/>
      <c r="AB364" s="22"/>
      <c r="AC364" s="22"/>
      <c r="AD364" s="22"/>
    </row>
    <row r="365">
      <c r="A365" s="21">
        <v>364.0</v>
      </c>
      <c r="B365" s="32" t="s">
        <v>565</v>
      </c>
      <c r="C365" s="16" t="str">
        <f>IFERROR(__xludf.DUMMYFUNCTION("XLOOKUP(B365,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""-"")"),"ASHVITHA THANYA K")</f>
        <v>ASHVITHA THANYA K</v>
      </c>
      <c r="D365" s="17" t="str">
        <f>IFERROR(__xludf.DUMMYFUNCTION("XLOOKUP(B365,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5" s="51" t="s">
        <v>125</v>
      </c>
      <c r="F365" s="14">
        <v>3.46</v>
      </c>
      <c r="G365" s="14" t="s">
        <v>252</v>
      </c>
      <c r="H365" s="14"/>
      <c r="I365" s="14" t="s">
        <v>432</v>
      </c>
      <c r="J365" s="14" t="s">
        <v>650</v>
      </c>
      <c r="K365" s="17" t="str">
        <f>IFERROR(__xludf.DUMMYFUNCTION("XLOOKUP(B365,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""-"")"),"ashvithathanya.ec23@bitsathy.ac.in")</f>
        <v>ashvithathanya.ec23@bitsathy.ac.in</v>
      </c>
      <c r="L365" s="21" t="str">
        <f>IFERROR(__xludf.DUMMYFUNCTION("XLOOKUP(B365,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""-"")"),"9345833351")</f>
        <v>9345833351</v>
      </c>
      <c r="M365" s="14" t="s">
        <v>71</v>
      </c>
      <c r="N365" s="14" t="s">
        <v>559</v>
      </c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22"/>
      <c r="AA365" s="22"/>
      <c r="AB365" s="22"/>
      <c r="AC365" s="22"/>
      <c r="AD365" s="22"/>
    </row>
    <row r="366">
      <c r="A366" s="21">
        <v>365.0</v>
      </c>
      <c r="B366" s="32" t="s">
        <v>679</v>
      </c>
      <c r="C366" s="16" t="str">
        <f>IFERROR(__xludf.DUMMYFUNCTION("XLOOKUP(B366,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""-"")"),"ASHWIN KUMARAN S")</f>
        <v>ASHWIN KUMARAN S</v>
      </c>
      <c r="D366" s="17" t="str">
        <f>IFERROR(__xludf.DUMMYFUNCTION("XLOOKUP(B366,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6" s="51" t="s">
        <v>125</v>
      </c>
      <c r="F366" s="14">
        <v>3.46</v>
      </c>
      <c r="G366" s="14" t="s">
        <v>252</v>
      </c>
      <c r="H366" s="14"/>
      <c r="I366" s="14" t="s">
        <v>432</v>
      </c>
      <c r="J366" s="14" t="s">
        <v>650</v>
      </c>
      <c r="K366" s="17" t="str">
        <f>IFERROR(__xludf.DUMMYFUNCTION("XLOOKUP(B366,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""-"")"),"ashwinkumaran.ec23@bitsathy.ac.in")</f>
        <v>ashwinkumaran.ec23@bitsathy.ac.in</v>
      </c>
      <c r="L366" s="21" t="str">
        <f>IFERROR(__xludf.DUMMYFUNCTION("XLOOKUP(B366,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""-"")"),"9384163519")</f>
        <v>9384163519</v>
      </c>
      <c r="M366" s="14" t="s">
        <v>71</v>
      </c>
      <c r="N366" s="14" t="s">
        <v>559</v>
      </c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22"/>
      <c r="AA366" s="22"/>
      <c r="AB366" s="22"/>
      <c r="AC366" s="22"/>
      <c r="AD366" s="22"/>
    </row>
    <row r="367">
      <c r="A367" s="21">
        <v>366.0</v>
      </c>
      <c r="B367" s="32" t="s">
        <v>680</v>
      </c>
      <c r="C367" s="16" t="str">
        <f>IFERROR(__xludf.DUMMYFUNCTION("XLOOKUP(B367,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""-"")"),"DURKAIBALAN P")</f>
        <v>DURKAIBALAN P</v>
      </c>
      <c r="D367" s="17" t="str">
        <f>IFERROR(__xludf.DUMMYFUNCTION("XLOOKUP(B367,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7" s="51" t="s">
        <v>125</v>
      </c>
      <c r="F367" s="14">
        <v>3.46</v>
      </c>
      <c r="G367" s="14" t="s">
        <v>252</v>
      </c>
      <c r="H367" s="14"/>
      <c r="I367" s="14" t="s">
        <v>432</v>
      </c>
      <c r="J367" s="14" t="s">
        <v>650</v>
      </c>
      <c r="K367" s="17" t="str">
        <f>IFERROR(__xludf.DUMMYFUNCTION("XLOOKUP(B367,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""-"")"),"durkaibalan.ec23@bitsathy.ac.in")</f>
        <v>durkaibalan.ec23@bitsathy.ac.in</v>
      </c>
      <c r="L367" s="21" t="str">
        <f>IFERROR(__xludf.DUMMYFUNCTION("XLOOKUP(B367,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""-"")"),"6382056934")</f>
        <v>6382056934</v>
      </c>
      <c r="M367" s="14" t="s">
        <v>71</v>
      </c>
      <c r="N367" s="14" t="s">
        <v>559</v>
      </c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22"/>
      <c r="AA367" s="22"/>
      <c r="AB367" s="22"/>
      <c r="AC367" s="22"/>
      <c r="AD367" s="22"/>
    </row>
    <row r="368">
      <c r="A368" s="21">
        <v>367.0</v>
      </c>
      <c r="B368" s="32" t="s">
        <v>681</v>
      </c>
      <c r="C368" s="16" t="str">
        <f>IFERROR(__xludf.DUMMYFUNCTION("XLOOKUP(B368,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""-"")"),"GIRIDHARAN M")</f>
        <v>GIRIDHARAN M</v>
      </c>
      <c r="D368" s="17" t="str">
        <f>IFERROR(__xludf.DUMMYFUNCTION("XLOOKUP(B368,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8" s="51" t="s">
        <v>125</v>
      </c>
      <c r="F368" s="14">
        <v>3.46</v>
      </c>
      <c r="G368" s="14" t="s">
        <v>252</v>
      </c>
      <c r="H368" s="14"/>
      <c r="I368" s="14" t="s">
        <v>432</v>
      </c>
      <c r="J368" s="14" t="s">
        <v>650</v>
      </c>
      <c r="K368" s="17" t="str">
        <f>IFERROR(__xludf.DUMMYFUNCTION("XLOOKUP(B368,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""-"")"),"giridharan.ec23@bitsathy.ac.in")</f>
        <v>giridharan.ec23@bitsathy.ac.in</v>
      </c>
      <c r="L368" s="21" t="str">
        <f>IFERROR(__xludf.DUMMYFUNCTION("XLOOKUP(B368,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""-"")"),"8122722663")</f>
        <v>8122722663</v>
      </c>
      <c r="M368" s="14" t="s">
        <v>71</v>
      </c>
      <c r="N368" s="14" t="s">
        <v>559</v>
      </c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22"/>
      <c r="AA368" s="22"/>
      <c r="AB368" s="22"/>
      <c r="AC368" s="22"/>
      <c r="AD368" s="22"/>
    </row>
    <row r="369">
      <c r="A369" s="21">
        <v>368.0</v>
      </c>
      <c r="B369" s="32" t="s">
        <v>682</v>
      </c>
      <c r="C369" s="16" t="str">
        <f>IFERROR(__xludf.DUMMYFUNCTION("XLOOKUP(B369,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""-"")"),"GIRIJA S")</f>
        <v>GIRIJA S</v>
      </c>
      <c r="D369" s="17" t="str">
        <f>IFERROR(__xludf.DUMMYFUNCTION("XLOOKUP(B369,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69" s="51" t="s">
        <v>125</v>
      </c>
      <c r="F369" s="14">
        <v>3.46</v>
      </c>
      <c r="G369" s="14" t="s">
        <v>252</v>
      </c>
      <c r="H369" s="14"/>
      <c r="I369" s="14" t="s">
        <v>432</v>
      </c>
      <c r="J369" s="14" t="s">
        <v>650</v>
      </c>
      <c r="K369" s="17" t="str">
        <f>IFERROR(__xludf.DUMMYFUNCTION("XLOOKUP(B369,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""-"")"),"girijas.ec23@bitsathy.ac.in")</f>
        <v>girijas.ec23@bitsathy.ac.in</v>
      </c>
      <c r="L369" s="21" t="str">
        <f>IFERROR(__xludf.DUMMYFUNCTION("XLOOKUP(B369,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""-"")"),"6379142302")</f>
        <v>6379142302</v>
      </c>
      <c r="M369" s="14" t="s">
        <v>71</v>
      </c>
      <c r="N369" s="14" t="s">
        <v>559</v>
      </c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22"/>
      <c r="AA369" s="22"/>
      <c r="AB369" s="22"/>
      <c r="AC369" s="22"/>
      <c r="AD369" s="22"/>
    </row>
    <row r="370">
      <c r="A370" s="21">
        <v>369.0</v>
      </c>
      <c r="B370" s="32" t="s">
        <v>683</v>
      </c>
      <c r="C370" s="16" t="str">
        <f>IFERROR(__xludf.DUMMYFUNCTION("XLOOKUP(B370,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""-"")"),"GOWRI N")</f>
        <v>GOWRI N</v>
      </c>
      <c r="D370" s="17" t="str">
        <f>IFERROR(__xludf.DUMMYFUNCTION("XLOOKUP(B370,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0" s="51" t="s">
        <v>125</v>
      </c>
      <c r="F370" s="14">
        <v>3.46</v>
      </c>
      <c r="G370" s="14" t="s">
        <v>252</v>
      </c>
      <c r="H370" s="14"/>
      <c r="I370" s="14" t="s">
        <v>432</v>
      </c>
      <c r="J370" s="14" t="s">
        <v>650</v>
      </c>
      <c r="K370" s="17" t="str">
        <f>IFERROR(__xludf.DUMMYFUNCTION("XLOOKUP(B370,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""-"")"),"gowri.ec23@bitsathy.ac.in")</f>
        <v>gowri.ec23@bitsathy.ac.in</v>
      </c>
      <c r="L370" s="21" t="str">
        <f>IFERROR(__xludf.DUMMYFUNCTION("XLOOKUP(B370,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""-"")"),"9363400133")</f>
        <v>9363400133</v>
      </c>
      <c r="M370" s="14" t="s">
        <v>71</v>
      </c>
      <c r="N370" s="14" t="s">
        <v>559</v>
      </c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22"/>
      <c r="AA370" s="22"/>
      <c r="AB370" s="22"/>
      <c r="AC370" s="22"/>
      <c r="AD370" s="22"/>
    </row>
    <row r="371">
      <c r="A371" s="21">
        <v>370.0</v>
      </c>
      <c r="B371" s="32" t="s">
        <v>684</v>
      </c>
      <c r="C371" s="16" t="str">
        <f>IFERROR(__xludf.DUMMYFUNCTION("XLOOKUP(B371,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""-"")"),"JANA KIRI G")</f>
        <v>JANA KIRI G</v>
      </c>
      <c r="D371" s="17" t="str">
        <f>IFERROR(__xludf.DUMMYFUNCTION("XLOOKUP(B371,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1" s="51" t="s">
        <v>125</v>
      </c>
      <c r="F371" s="14">
        <v>3.46</v>
      </c>
      <c r="G371" s="14" t="s">
        <v>252</v>
      </c>
      <c r="H371" s="14"/>
      <c r="I371" s="14" t="s">
        <v>432</v>
      </c>
      <c r="J371" s="14" t="s">
        <v>650</v>
      </c>
      <c r="K371" s="17" t="str">
        <f>IFERROR(__xludf.DUMMYFUNCTION("XLOOKUP(B371,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""-"")"),"janakiri.ec23@bitsathy.ac.in")</f>
        <v>janakiri.ec23@bitsathy.ac.in</v>
      </c>
      <c r="L371" s="21" t="str">
        <f>IFERROR(__xludf.DUMMYFUNCTION("XLOOKUP(B371,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""-"")"),"7826971879")</f>
        <v>7826971879</v>
      </c>
      <c r="M371" s="14" t="s">
        <v>71</v>
      </c>
      <c r="N371" s="14" t="s">
        <v>559</v>
      </c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22"/>
      <c r="AA371" s="22"/>
      <c r="AB371" s="22"/>
      <c r="AC371" s="22"/>
      <c r="AD371" s="22"/>
    </row>
    <row r="372">
      <c r="A372" s="21">
        <v>371.0</v>
      </c>
      <c r="B372" s="32" t="s">
        <v>685</v>
      </c>
      <c r="C372" s="16" t="str">
        <f>IFERROR(__xludf.DUMMYFUNCTION("XLOOKUP(B372,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""-"")"),"JANE MYSTIKA D")</f>
        <v>JANE MYSTIKA D</v>
      </c>
      <c r="D372" s="17" t="str">
        <f>IFERROR(__xludf.DUMMYFUNCTION("XLOOKUP(B372,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2" s="51" t="s">
        <v>125</v>
      </c>
      <c r="F372" s="14">
        <v>3.46</v>
      </c>
      <c r="G372" s="14" t="s">
        <v>252</v>
      </c>
      <c r="H372" s="14"/>
      <c r="I372" s="14" t="s">
        <v>432</v>
      </c>
      <c r="J372" s="14" t="s">
        <v>650</v>
      </c>
      <c r="K372" s="17" t="str">
        <f>IFERROR(__xludf.DUMMYFUNCTION("XLOOKUP(B372,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""-"")"),"janemystika.ec23@bitsathy.ac.in")</f>
        <v>janemystika.ec23@bitsathy.ac.in</v>
      </c>
      <c r="L372" s="21" t="str">
        <f>IFERROR(__xludf.DUMMYFUNCTION("XLOOKUP(B372,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""-"")"),"9952813995")</f>
        <v>9952813995</v>
      </c>
      <c r="M372" s="14" t="s">
        <v>71</v>
      </c>
      <c r="N372" s="14" t="s">
        <v>559</v>
      </c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22"/>
      <c r="AA372" s="22"/>
      <c r="AB372" s="22"/>
      <c r="AC372" s="22"/>
      <c r="AD372" s="22"/>
    </row>
    <row r="373">
      <c r="A373" s="21">
        <v>372.0</v>
      </c>
      <c r="B373" s="32" t="s">
        <v>686</v>
      </c>
      <c r="C373" s="16" t="str">
        <f>IFERROR(__xludf.DUMMYFUNCTION("XLOOKUP(B373,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""-"")"),"KAMESH S")</f>
        <v>KAMESH S</v>
      </c>
      <c r="D373" s="17" t="str">
        <f>IFERROR(__xludf.DUMMYFUNCTION("XLOOKUP(B373,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3" s="51" t="s">
        <v>125</v>
      </c>
      <c r="F373" s="14">
        <v>3.46</v>
      </c>
      <c r="G373" s="14" t="s">
        <v>252</v>
      </c>
      <c r="H373" s="14"/>
      <c r="I373" s="14" t="s">
        <v>432</v>
      </c>
      <c r="J373" s="14" t="s">
        <v>650</v>
      </c>
      <c r="K373" s="17" t="str">
        <f>IFERROR(__xludf.DUMMYFUNCTION("XLOOKUP(B373,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""-"")"),"kamesh.ec23@bitsathy.ac.in")</f>
        <v>kamesh.ec23@bitsathy.ac.in</v>
      </c>
      <c r="L373" s="21" t="str">
        <f>IFERROR(__xludf.DUMMYFUNCTION("XLOOKUP(B373,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""-"")"),"6369538408")</f>
        <v>6369538408</v>
      </c>
      <c r="M373" s="14" t="s">
        <v>71</v>
      </c>
      <c r="N373" s="14" t="s">
        <v>559</v>
      </c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22"/>
      <c r="AA373" s="22"/>
      <c r="AB373" s="22"/>
      <c r="AC373" s="22"/>
      <c r="AD373" s="22"/>
    </row>
    <row r="374">
      <c r="A374" s="21">
        <v>373.0</v>
      </c>
      <c r="B374" s="32" t="s">
        <v>687</v>
      </c>
      <c r="C374" s="16" t="str">
        <f>IFERROR(__xludf.DUMMYFUNCTION("XLOOKUP(B374,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""-"")"),"KARTHIKEYAN K")</f>
        <v>KARTHIKEYAN K</v>
      </c>
      <c r="D374" s="17" t="str">
        <f>IFERROR(__xludf.DUMMYFUNCTION("XLOOKUP(B374,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4" s="51" t="s">
        <v>125</v>
      </c>
      <c r="F374" s="14">
        <v>3.46</v>
      </c>
      <c r="G374" s="14" t="s">
        <v>252</v>
      </c>
      <c r="H374" s="14"/>
      <c r="I374" s="14" t="s">
        <v>432</v>
      </c>
      <c r="J374" s="14" t="s">
        <v>650</v>
      </c>
      <c r="K374" s="17" t="str">
        <f>IFERROR(__xludf.DUMMYFUNCTION("XLOOKUP(B374,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""-"")"),"karthikeyan.ec23@bitsathy.ac.in")</f>
        <v>karthikeyan.ec23@bitsathy.ac.in</v>
      </c>
      <c r="L374" s="21" t="str">
        <f>IFERROR(__xludf.DUMMYFUNCTION("XLOOKUP(B374,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""-"")"),"9360126109")</f>
        <v>9360126109</v>
      </c>
      <c r="M374" s="14" t="s">
        <v>71</v>
      </c>
      <c r="N374" s="14" t="s">
        <v>559</v>
      </c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22"/>
      <c r="AA374" s="22"/>
      <c r="AB374" s="22"/>
      <c r="AC374" s="22"/>
      <c r="AD374" s="22"/>
    </row>
    <row r="375">
      <c r="A375" s="21">
        <v>374.0</v>
      </c>
      <c r="B375" s="32" t="s">
        <v>688</v>
      </c>
      <c r="C375" s="16" t="str">
        <f>IFERROR(__xludf.DUMMYFUNCTION("XLOOKUP(B375,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""-"")"),"KATHIR V B")</f>
        <v>KATHIR V B</v>
      </c>
      <c r="D375" s="17" t="str">
        <f>IFERROR(__xludf.DUMMYFUNCTION("XLOOKUP(B375,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5" s="51" t="s">
        <v>125</v>
      </c>
      <c r="F375" s="14">
        <v>3.46</v>
      </c>
      <c r="G375" s="14" t="s">
        <v>252</v>
      </c>
      <c r="H375" s="14"/>
      <c r="I375" s="14" t="s">
        <v>432</v>
      </c>
      <c r="J375" s="14" t="s">
        <v>650</v>
      </c>
      <c r="K375" s="17" t="str">
        <f>IFERROR(__xludf.DUMMYFUNCTION("XLOOKUP(B375,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""-"")"),"kathir.ec23@bitsathy.ac.in")</f>
        <v>kathir.ec23@bitsathy.ac.in</v>
      </c>
      <c r="L375" s="21" t="str">
        <f>IFERROR(__xludf.DUMMYFUNCTION("XLOOKUP(B375,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""-"")"),"8072202422")</f>
        <v>8072202422</v>
      </c>
      <c r="M375" s="14" t="s">
        <v>71</v>
      </c>
      <c r="N375" s="14" t="s">
        <v>559</v>
      </c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22"/>
      <c r="AA375" s="22"/>
      <c r="AB375" s="22"/>
      <c r="AC375" s="22"/>
      <c r="AD375" s="22"/>
    </row>
    <row r="376">
      <c r="A376" s="21">
        <v>375.0</v>
      </c>
      <c r="B376" s="32" t="s">
        <v>689</v>
      </c>
      <c r="C376" s="16" t="str">
        <f>IFERROR(__xludf.DUMMYFUNCTION("XLOOKUP(B376,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""-"")"),"KEERTHIVASAN  S")</f>
        <v>KEERTHIVASAN  S</v>
      </c>
      <c r="D376" s="17" t="str">
        <f>IFERROR(__xludf.DUMMYFUNCTION("XLOOKUP(B376,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6" s="51" t="s">
        <v>125</v>
      </c>
      <c r="F376" s="14">
        <v>3.46</v>
      </c>
      <c r="G376" s="14" t="s">
        <v>252</v>
      </c>
      <c r="H376" s="14"/>
      <c r="I376" s="14" t="s">
        <v>432</v>
      </c>
      <c r="J376" s="14" t="s">
        <v>650</v>
      </c>
      <c r="K376" s="17" t="str">
        <f>IFERROR(__xludf.DUMMYFUNCTION("XLOOKUP(B376,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""-"")"),"keerthivasan.ec23@bitsathy.ac.in")</f>
        <v>keerthivasan.ec23@bitsathy.ac.in</v>
      </c>
      <c r="L376" s="21" t="str">
        <f>IFERROR(__xludf.DUMMYFUNCTION("XLOOKUP(B376,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""-"")"),"9345764834")</f>
        <v>9345764834</v>
      </c>
      <c r="M376" s="14" t="s">
        <v>71</v>
      </c>
      <c r="N376" s="14" t="s">
        <v>559</v>
      </c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22"/>
      <c r="AA376" s="22"/>
      <c r="AB376" s="22"/>
      <c r="AC376" s="22"/>
      <c r="AD376" s="22"/>
    </row>
    <row r="377">
      <c r="A377" s="21">
        <v>376.0</v>
      </c>
      <c r="B377" s="32" t="s">
        <v>690</v>
      </c>
      <c r="C377" s="16" t="str">
        <f>IFERROR(__xludf.DUMMYFUNCTION("XLOOKUP(B377,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""-"")"),"KOWSIC S")</f>
        <v>KOWSIC S</v>
      </c>
      <c r="D377" s="17" t="str">
        <f>IFERROR(__xludf.DUMMYFUNCTION("XLOOKUP(B377,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7" s="51" t="s">
        <v>125</v>
      </c>
      <c r="F377" s="14">
        <v>3.46</v>
      </c>
      <c r="G377" s="14" t="s">
        <v>252</v>
      </c>
      <c r="H377" s="14"/>
      <c r="I377" s="14" t="s">
        <v>432</v>
      </c>
      <c r="J377" s="14" t="s">
        <v>650</v>
      </c>
      <c r="K377" s="17" t="str">
        <f>IFERROR(__xludf.DUMMYFUNCTION("XLOOKUP(B377,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""-"")"),"kowsic.ec23@bitsathy.ac.in")</f>
        <v>kowsic.ec23@bitsathy.ac.in</v>
      </c>
      <c r="L377" s="21" t="str">
        <f>IFERROR(__xludf.DUMMYFUNCTION("XLOOKUP(B377,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""-"")"),"8072651830")</f>
        <v>8072651830</v>
      </c>
      <c r="M377" s="14" t="s">
        <v>71</v>
      </c>
      <c r="N377" s="14" t="s">
        <v>559</v>
      </c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22"/>
      <c r="AA377" s="22"/>
      <c r="AB377" s="22"/>
      <c r="AC377" s="22"/>
      <c r="AD377" s="22"/>
    </row>
    <row r="378">
      <c r="A378" s="21">
        <v>377.0</v>
      </c>
      <c r="B378" s="32" t="s">
        <v>577</v>
      </c>
      <c r="C378" s="16" t="str">
        <f>IFERROR(__xludf.DUMMYFUNCTION("XLOOKUP(B378,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""-"")"),"MANISHA D")</f>
        <v>MANISHA D</v>
      </c>
      <c r="D378" s="17" t="str">
        <f>IFERROR(__xludf.DUMMYFUNCTION("XLOOKUP(B378,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8" s="51" t="s">
        <v>125</v>
      </c>
      <c r="F378" s="14">
        <v>3.46</v>
      </c>
      <c r="G378" s="14" t="s">
        <v>252</v>
      </c>
      <c r="H378" s="14"/>
      <c r="I378" s="14" t="s">
        <v>432</v>
      </c>
      <c r="J378" s="14" t="s">
        <v>650</v>
      </c>
      <c r="K378" s="17" t="str">
        <f>IFERROR(__xludf.DUMMYFUNCTION("XLOOKUP(B378,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""-"")"),"manisha.ec23@bitsathy.ac.in")</f>
        <v>manisha.ec23@bitsathy.ac.in</v>
      </c>
      <c r="L378" s="21" t="str">
        <f>IFERROR(__xludf.DUMMYFUNCTION("XLOOKUP(B378,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""-"")"),"9500590029")</f>
        <v>9500590029</v>
      </c>
      <c r="M378" s="14" t="s">
        <v>71</v>
      </c>
      <c r="N378" s="14" t="s">
        <v>559</v>
      </c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22"/>
      <c r="AA378" s="22"/>
      <c r="AB378" s="22"/>
      <c r="AC378" s="22"/>
      <c r="AD378" s="22"/>
    </row>
    <row r="379">
      <c r="A379" s="21">
        <v>378.0</v>
      </c>
      <c r="B379" s="32" t="s">
        <v>691</v>
      </c>
      <c r="C379" s="16" t="str">
        <f>IFERROR(__xludf.DUMMYFUNCTION("XLOOKUP(B379,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""-"")"),"MANOJKUMAR C S")</f>
        <v>MANOJKUMAR C S</v>
      </c>
      <c r="D379" s="17" t="str">
        <f>IFERROR(__xludf.DUMMYFUNCTION("XLOOKUP(B379,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79" s="51" t="s">
        <v>125</v>
      </c>
      <c r="F379" s="14">
        <v>3.46</v>
      </c>
      <c r="G379" s="14" t="s">
        <v>252</v>
      </c>
      <c r="H379" s="14"/>
      <c r="I379" s="14" t="s">
        <v>432</v>
      </c>
      <c r="J379" s="14" t="s">
        <v>650</v>
      </c>
      <c r="K379" s="17" t="str">
        <f>IFERROR(__xludf.DUMMYFUNCTION("XLOOKUP(B379,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""-"")"),"manojkumar.ec23@bitsathy.ac.in")</f>
        <v>manojkumar.ec23@bitsathy.ac.in</v>
      </c>
      <c r="L379" s="21" t="str">
        <f>IFERROR(__xludf.DUMMYFUNCTION("XLOOKUP(B379,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""-"")"),"8124745559")</f>
        <v>8124745559</v>
      </c>
      <c r="M379" s="14" t="s">
        <v>71</v>
      </c>
      <c r="N379" s="14" t="s">
        <v>559</v>
      </c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22"/>
      <c r="AA379" s="22"/>
      <c r="AB379" s="22"/>
      <c r="AC379" s="22"/>
      <c r="AD379" s="22"/>
    </row>
    <row r="380">
      <c r="A380" s="21">
        <v>379.0</v>
      </c>
      <c r="B380" s="32" t="s">
        <v>692</v>
      </c>
      <c r="C380" s="16" t="str">
        <f>IFERROR(__xludf.DUMMYFUNCTION("XLOOKUP(B380,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""-"")"),"MIDUN THANIGACHALAM SUBBARAYAN")</f>
        <v>MIDUN THANIGACHALAM SUBBARAYAN</v>
      </c>
      <c r="D380" s="17" t="str">
        <f>IFERROR(__xludf.DUMMYFUNCTION("XLOOKUP(B380,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0" s="51" t="s">
        <v>125</v>
      </c>
      <c r="F380" s="14">
        <v>3.46</v>
      </c>
      <c r="G380" s="14" t="s">
        <v>252</v>
      </c>
      <c r="H380" s="14"/>
      <c r="I380" s="14" t="s">
        <v>432</v>
      </c>
      <c r="J380" s="14" t="s">
        <v>650</v>
      </c>
      <c r="K380" s="17" t="str">
        <f>IFERROR(__xludf.DUMMYFUNCTION("XLOOKUP(B380,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""-"")"),"midunthanigachalam.ec23@bitsathy.ac.in")</f>
        <v>midunthanigachalam.ec23@bitsathy.ac.in</v>
      </c>
      <c r="L380" s="21" t="str">
        <f>IFERROR(__xludf.DUMMYFUNCTION("XLOOKUP(B380,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""-"")"),"6383102627")</f>
        <v>6383102627</v>
      </c>
      <c r="M380" s="14" t="s">
        <v>71</v>
      </c>
      <c r="N380" s="14" t="s">
        <v>559</v>
      </c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22"/>
      <c r="AA380" s="22"/>
      <c r="AB380" s="22"/>
      <c r="AC380" s="22"/>
      <c r="AD380" s="22"/>
    </row>
    <row r="381">
      <c r="A381" s="21">
        <v>380.0</v>
      </c>
      <c r="B381" s="32" t="s">
        <v>693</v>
      </c>
      <c r="C381" s="16" t="str">
        <f>IFERROR(__xludf.DUMMYFUNCTION("XLOOKUP(B381,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""-"")"),"MITHUN B S")</f>
        <v>MITHUN B S</v>
      </c>
      <c r="D381" s="17" t="str">
        <f>IFERROR(__xludf.DUMMYFUNCTION("XLOOKUP(B381,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1" s="51" t="s">
        <v>125</v>
      </c>
      <c r="F381" s="14">
        <v>3.46</v>
      </c>
      <c r="G381" s="14" t="s">
        <v>252</v>
      </c>
      <c r="H381" s="14"/>
      <c r="I381" s="14" t="s">
        <v>432</v>
      </c>
      <c r="J381" s="14" t="s">
        <v>650</v>
      </c>
      <c r="K381" s="17" t="str">
        <f>IFERROR(__xludf.DUMMYFUNCTION("XLOOKUP(B381,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""-"")"),"mithun.ec23@bitsathy.ac.in")</f>
        <v>mithun.ec23@bitsathy.ac.in</v>
      </c>
      <c r="L381" s="21" t="str">
        <f>IFERROR(__xludf.DUMMYFUNCTION("XLOOKUP(B381,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""-"")"),"9514204858")</f>
        <v>9514204858</v>
      </c>
      <c r="M381" s="14" t="s">
        <v>71</v>
      </c>
      <c r="N381" s="14" t="s">
        <v>559</v>
      </c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22"/>
      <c r="AA381" s="22"/>
      <c r="AB381" s="22"/>
      <c r="AC381" s="22"/>
      <c r="AD381" s="22"/>
    </row>
    <row r="382">
      <c r="A382" s="21">
        <v>381.0</v>
      </c>
      <c r="B382" s="32" t="s">
        <v>694</v>
      </c>
      <c r="C382" s="16" t="str">
        <f>IFERROR(__xludf.DUMMYFUNCTION("XLOOKUP(B382,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""-"")"),"MOHAMED ISMAIL T")</f>
        <v>MOHAMED ISMAIL T</v>
      </c>
      <c r="D382" s="17" t="str">
        <f>IFERROR(__xludf.DUMMYFUNCTION("XLOOKUP(B382,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2" s="51" t="s">
        <v>125</v>
      </c>
      <c r="F382" s="14">
        <v>3.46</v>
      </c>
      <c r="G382" s="14" t="s">
        <v>252</v>
      </c>
      <c r="H382" s="14"/>
      <c r="I382" s="14" t="s">
        <v>432</v>
      </c>
      <c r="J382" s="14" t="s">
        <v>650</v>
      </c>
      <c r="K382" s="17" t="str">
        <f>IFERROR(__xludf.DUMMYFUNCTION("XLOOKUP(B382,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""-"")"),"mohamedismail.ec23@bitsathy.ac.in")</f>
        <v>mohamedismail.ec23@bitsathy.ac.in</v>
      </c>
      <c r="L382" s="21" t="str">
        <f>IFERROR(__xludf.DUMMYFUNCTION("XLOOKUP(B382,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""-"")"),"8015750565")</f>
        <v>8015750565</v>
      </c>
      <c r="M382" s="14" t="s">
        <v>71</v>
      </c>
      <c r="N382" s="14" t="s">
        <v>559</v>
      </c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22"/>
      <c r="AA382" s="22"/>
      <c r="AB382" s="22"/>
      <c r="AC382" s="22"/>
      <c r="AD382" s="22"/>
    </row>
    <row r="383">
      <c r="A383" s="21">
        <v>382.0</v>
      </c>
      <c r="B383" s="32" t="s">
        <v>695</v>
      </c>
      <c r="C383" s="16" t="str">
        <f>IFERROR(__xludf.DUMMYFUNCTION("XLOOKUP(B383,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""-"")"),"NAVEENA K")</f>
        <v>NAVEENA K</v>
      </c>
      <c r="D383" s="17" t="str">
        <f>IFERROR(__xludf.DUMMYFUNCTION("XLOOKUP(B383,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3" s="51" t="s">
        <v>125</v>
      </c>
      <c r="F383" s="14">
        <v>3.46</v>
      </c>
      <c r="G383" s="14" t="s">
        <v>252</v>
      </c>
      <c r="H383" s="14"/>
      <c r="I383" s="14" t="s">
        <v>432</v>
      </c>
      <c r="J383" s="14" t="s">
        <v>650</v>
      </c>
      <c r="K383" s="17" t="str">
        <f>IFERROR(__xludf.DUMMYFUNCTION("XLOOKUP(B383,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""-"")"),"naveena.ec23@bitsathy.ac.in")</f>
        <v>naveena.ec23@bitsathy.ac.in</v>
      </c>
      <c r="L383" s="21" t="str">
        <f>IFERROR(__xludf.DUMMYFUNCTION("XLOOKUP(B383,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""-"")"),"9344399110")</f>
        <v>9344399110</v>
      </c>
      <c r="M383" s="14" t="s">
        <v>71</v>
      </c>
      <c r="N383" s="14" t="s">
        <v>559</v>
      </c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22"/>
      <c r="AA383" s="22"/>
      <c r="AB383" s="22"/>
      <c r="AC383" s="22"/>
      <c r="AD383" s="22"/>
    </row>
    <row r="384">
      <c r="A384" s="21">
        <v>383.0</v>
      </c>
      <c r="B384" s="32" t="s">
        <v>696</v>
      </c>
      <c r="C384" s="16" t="str">
        <f>IFERROR(__xludf.DUMMYFUNCTION("XLOOKUP(B384,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""-"")"),"POORVIKA M S")</f>
        <v>POORVIKA M S</v>
      </c>
      <c r="D384" s="17" t="str">
        <f>IFERROR(__xludf.DUMMYFUNCTION("XLOOKUP(B384,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4" s="51" t="s">
        <v>125</v>
      </c>
      <c r="F384" s="14">
        <v>3.46</v>
      </c>
      <c r="G384" s="14" t="s">
        <v>252</v>
      </c>
      <c r="H384" s="14"/>
      <c r="I384" s="14" t="s">
        <v>432</v>
      </c>
      <c r="J384" s="14" t="s">
        <v>650</v>
      </c>
      <c r="K384" s="17" t="str">
        <f>IFERROR(__xludf.DUMMYFUNCTION("XLOOKUP(B384,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""-"")"),"poorvika.ec23@bitsathy.ac.in")</f>
        <v>poorvika.ec23@bitsathy.ac.in</v>
      </c>
      <c r="L384" s="21" t="str">
        <f>IFERROR(__xludf.DUMMYFUNCTION("XLOOKUP(B384,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""-"")"),"8072481959")</f>
        <v>8072481959</v>
      </c>
      <c r="M384" s="14" t="s">
        <v>71</v>
      </c>
      <c r="N384" s="14" t="s">
        <v>559</v>
      </c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22"/>
      <c r="AA384" s="22"/>
      <c r="AB384" s="22"/>
      <c r="AC384" s="22"/>
      <c r="AD384" s="22"/>
    </row>
    <row r="385">
      <c r="A385" s="21">
        <v>384.0</v>
      </c>
      <c r="B385" s="32" t="s">
        <v>697</v>
      </c>
      <c r="C385" s="16" t="str">
        <f>IFERROR(__xludf.DUMMYFUNCTION("XLOOKUP(B385,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""-"")"),"PRASAD R")</f>
        <v>PRASAD R</v>
      </c>
      <c r="D385" s="17" t="str">
        <f>IFERROR(__xludf.DUMMYFUNCTION("XLOOKUP(B385,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5" s="51" t="s">
        <v>125</v>
      </c>
      <c r="F385" s="14">
        <v>3.46</v>
      </c>
      <c r="G385" s="14" t="s">
        <v>252</v>
      </c>
      <c r="H385" s="14"/>
      <c r="I385" s="14" t="s">
        <v>432</v>
      </c>
      <c r="J385" s="14" t="s">
        <v>650</v>
      </c>
      <c r="K385" s="17" t="str">
        <f>IFERROR(__xludf.DUMMYFUNCTION("XLOOKUP(B385,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""-"")"),"prasad.ec23@bitsathy.ac.in")</f>
        <v>prasad.ec23@bitsathy.ac.in</v>
      </c>
      <c r="L385" s="21" t="str">
        <f>IFERROR(__xludf.DUMMYFUNCTION("XLOOKUP(B385,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""-"")"),"9543723993")</f>
        <v>9543723993</v>
      </c>
      <c r="M385" s="14" t="s">
        <v>71</v>
      </c>
      <c r="N385" s="14" t="s">
        <v>559</v>
      </c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22"/>
      <c r="AA385" s="22"/>
      <c r="AB385" s="22"/>
      <c r="AC385" s="22"/>
      <c r="AD385" s="22"/>
    </row>
    <row r="386">
      <c r="A386" s="21">
        <v>385.0</v>
      </c>
      <c r="B386" s="32" t="s">
        <v>698</v>
      </c>
      <c r="C386" s="16" t="str">
        <f>IFERROR(__xludf.DUMMYFUNCTION("XLOOKUP(B386,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""-"")"),"PRASANTH S")</f>
        <v>PRASANTH S</v>
      </c>
      <c r="D386" s="17" t="str">
        <f>IFERROR(__xludf.DUMMYFUNCTION("XLOOKUP(B386,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6" s="51" t="s">
        <v>125</v>
      </c>
      <c r="F386" s="14">
        <v>3.46</v>
      </c>
      <c r="G386" s="14" t="s">
        <v>252</v>
      </c>
      <c r="H386" s="14"/>
      <c r="I386" s="14" t="s">
        <v>432</v>
      </c>
      <c r="J386" s="14" t="s">
        <v>650</v>
      </c>
      <c r="K386" s="17" t="str">
        <f>IFERROR(__xludf.DUMMYFUNCTION("XLOOKUP(B386,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""-"")"),"prasanth.ec23@bitsathy.ac.in")</f>
        <v>prasanth.ec23@bitsathy.ac.in</v>
      </c>
      <c r="L386" s="21" t="str">
        <f>IFERROR(__xludf.DUMMYFUNCTION("XLOOKUP(B386,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""-"")"),"7904018033")</f>
        <v>7904018033</v>
      </c>
      <c r="M386" s="14" t="s">
        <v>71</v>
      </c>
      <c r="N386" s="14" t="s">
        <v>559</v>
      </c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22"/>
      <c r="AA386" s="22"/>
      <c r="AB386" s="22"/>
      <c r="AC386" s="22"/>
      <c r="AD386" s="22"/>
    </row>
    <row r="387">
      <c r="A387" s="21">
        <v>386.0</v>
      </c>
      <c r="B387" s="32" t="s">
        <v>699</v>
      </c>
      <c r="C387" s="16" t="str">
        <f>IFERROR(__xludf.DUMMYFUNCTION("XLOOKUP(B387,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""-"")"),"RASHMI  R")</f>
        <v>RASHMI  R</v>
      </c>
      <c r="D387" s="17" t="str">
        <f>IFERROR(__xludf.DUMMYFUNCTION("XLOOKUP(B387,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7" s="51" t="s">
        <v>125</v>
      </c>
      <c r="F387" s="14">
        <v>3.46</v>
      </c>
      <c r="G387" s="14" t="s">
        <v>252</v>
      </c>
      <c r="H387" s="14"/>
      <c r="I387" s="14" t="s">
        <v>432</v>
      </c>
      <c r="J387" s="14" t="s">
        <v>650</v>
      </c>
      <c r="K387" s="17" t="str">
        <f>IFERROR(__xludf.DUMMYFUNCTION("XLOOKUP(B387,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""-"")"),"rashmi.ec23@bitsathy.ac.in")</f>
        <v>rashmi.ec23@bitsathy.ac.in</v>
      </c>
      <c r="L387" s="21" t="str">
        <f>IFERROR(__xludf.DUMMYFUNCTION("XLOOKUP(B387,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""-"")"),"9500322567")</f>
        <v>9500322567</v>
      </c>
      <c r="M387" s="14" t="s">
        <v>71</v>
      </c>
      <c r="N387" s="14" t="s">
        <v>559</v>
      </c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22"/>
      <c r="AA387" s="22"/>
      <c r="AB387" s="22"/>
      <c r="AC387" s="22"/>
      <c r="AD387" s="22"/>
    </row>
    <row r="388">
      <c r="A388" s="21">
        <v>387.0</v>
      </c>
      <c r="B388" s="32" t="s">
        <v>403</v>
      </c>
      <c r="C388" s="16" t="str">
        <f>IFERROR(__xludf.DUMMYFUNCTION("XLOOKUP(B388,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""-"")"),"RATNADEEPA K P")</f>
        <v>RATNADEEPA K P</v>
      </c>
      <c r="D388" s="17" t="str">
        <f>IFERROR(__xludf.DUMMYFUNCTION("XLOOKUP(B388,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8" s="51" t="s">
        <v>125</v>
      </c>
      <c r="F388" s="14">
        <v>3.46</v>
      </c>
      <c r="G388" s="14" t="s">
        <v>252</v>
      </c>
      <c r="H388" s="14"/>
      <c r="I388" s="14" t="s">
        <v>432</v>
      </c>
      <c r="J388" s="14" t="s">
        <v>650</v>
      </c>
      <c r="K388" s="17" t="str">
        <f>IFERROR(__xludf.DUMMYFUNCTION("XLOOKUP(B388,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""-"")"),"ratnadeepa.ec23@bitsathy.ac.in")</f>
        <v>ratnadeepa.ec23@bitsathy.ac.in</v>
      </c>
      <c r="L388" s="21" t="str">
        <f>IFERROR(__xludf.DUMMYFUNCTION("XLOOKUP(B388,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""-"")"),"9894985523")</f>
        <v>9894985523</v>
      </c>
      <c r="M388" s="14" t="s">
        <v>71</v>
      </c>
      <c r="N388" s="14" t="s">
        <v>559</v>
      </c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22"/>
      <c r="AA388" s="22"/>
      <c r="AB388" s="22"/>
      <c r="AC388" s="22"/>
      <c r="AD388" s="22"/>
    </row>
    <row r="389">
      <c r="A389" s="21">
        <v>388.0</v>
      </c>
      <c r="B389" s="32" t="s">
        <v>700</v>
      </c>
      <c r="C389" s="16" t="str">
        <f>IFERROR(__xludf.DUMMYFUNCTION("XLOOKUP(B389,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""-"")"),"SAKTHI DHARSHAN S")</f>
        <v>SAKTHI DHARSHAN S</v>
      </c>
      <c r="D389" s="17" t="str">
        <f>IFERROR(__xludf.DUMMYFUNCTION("XLOOKUP(B389,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89" s="51" t="s">
        <v>125</v>
      </c>
      <c r="F389" s="14">
        <v>3.46</v>
      </c>
      <c r="G389" s="14" t="s">
        <v>252</v>
      </c>
      <c r="H389" s="14"/>
      <c r="I389" s="14" t="s">
        <v>432</v>
      </c>
      <c r="J389" s="14" t="s">
        <v>650</v>
      </c>
      <c r="K389" s="17" t="str">
        <f>IFERROR(__xludf.DUMMYFUNCTION("XLOOKUP(B389,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""-"")"),"sakthidharshan.ec23@bitsathy.ac.in")</f>
        <v>sakthidharshan.ec23@bitsathy.ac.in</v>
      </c>
      <c r="L389" s="21" t="str">
        <f>IFERROR(__xludf.DUMMYFUNCTION("XLOOKUP(B389,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""-"")"),"9342533765")</f>
        <v>9342533765</v>
      </c>
      <c r="M389" s="14" t="s">
        <v>71</v>
      </c>
      <c r="N389" s="14" t="s">
        <v>559</v>
      </c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22"/>
      <c r="AA389" s="22"/>
      <c r="AB389" s="22"/>
      <c r="AC389" s="22"/>
      <c r="AD389" s="22"/>
    </row>
    <row r="390">
      <c r="A390" s="21">
        <v>389.0</v>
      </c>
      <c r="B390" s="32" t="s">
        <v>701</v>
      </c>
      <c r="C390" s="16" t="str">
        <f>IFERROR(__xludf.DUMMYFUNCTION("XLOOKUP(B390,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""-"")"),"SANJAY SRI THANU MALAIYAAN C")</f>
        <v>SANJAY SRI THANU MALAIYAAN C</v>
      </c>
      <c r="D390" s="17" t="str">
        <f>IFERROR(__xludf.DUMMYFUNCTION("XLOOKUP(B390,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0" s="51" t="s">
        <v>125</v>
      </c>
      <c r="F390" s="14">
        <v>3.46</v>
      </c>
      <c r="G390" s="14" t="s">
        <v>252</v>
      </c>
      <c r="H390" s="14"/>
      <c r="I390" s="14" t="s">
        <v>432</v>
      </c>
      <c r="J390" s="14" t="s">
        <v>650</v>
      </c>
      <c r="K390" s="17" t="str">
        <f>IFERROR(__xludf.DUMMYFUNCTION("XLOOKUP(B390,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""-"")"),"sanjaysrithanumalaiyaan.ec23@bitsathy.ac.in")</f>
        <v>sanjaysrithanumalaiyaan.ec23@bitsathy.ac.in</v>
      </c>
      <c r="L390" s="21" t="str">
        <f>IFERROR(__xludf.DUMMYFUNCTION("XLOOKUP(B390,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""-"")"),"7358220388")</f>
        <v>7358220388</v>
      </c>
      <c r="M390" s="14" t="s">
        <v>71</v>
      </c>
      <c r="N390" s="14" t="s">
        <v>559</v>
      </c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22"/>
      <c r="AA390" s="22"/>
      <c r="AB390" s="22"/>
      <c r="AC390" s="22"/>
      <c r="AD390" s="22"/>
    </row>
    <row r="391">
      <c r="A391" s="21">
        <v>390.0</v>
      </c>
      <c r="B391" s="32" t="s">
        <v>702</v>
      </c>
      <c r="C391" s="16" t="str">
        <f>IFERROR(__xludf.DUMMYFUNCTION("XLOOKUP(B391,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""-"")"),"SASIRITHIKA S")</f>
        <v>SASIRITHIKA S</v>
      </c>
      <c r="D391" s="17" t="str">
        <f>IFERROR(__xludf.DUMMYFUNCTION("XLOOKUP(B391,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1" s="51" t="s">
        <v>125</v>
      </c>
      <c r="F391" s="14">
        <v>3.46</v>
      </c>
      <c r="G391" s="14" t="s">
        <v>252</v>
      </c>
      <c r="H391" s="14"/>
      <c r="I391" s="14" t="s">
        <v>432</v>
      </c>
      <c r="J391" s="14" t="s">
        <v>650</v>
      </c>
      <c r="K391" s="17" t="str">
        <f>IFERROR(__xludf.DUMMYFUNCTION("XLOOKUP(B391,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""-"")"),"sasirithika.ec23@bitsathy.ac.in")</f>
        <v>sasirithika.ec23@bitsathy.ac.in</v>
      </c>
      <c r="L391" s="21" t="str">
        <f>IFERROR(__xludf.DUMMYFUNCTION("XLOOKUP(B391,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""-"")"),"7806833599")</f>
        <v>7806833599</v>
      </c>
      <c r="M391" s="14" t="s">
        <v>71</v>
      </c>
      <c r="N391" s="14" t="s">
        <v>559</v>
      </c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22"/>
      <c r="AA391" s="22"/>
      <c r="AB391" s="22"/>
      <c r="AC391" s="22"/>
      <c r="AD391" s="22"/>
    </row>
    <row r="392">
      <c r="A392" s="21">
        <v>391.0</v>
      </c>
      <c r="B392" s="32" t="s">
        <v>703</v>
      </c>
      <c r="C392" s="16" t="str">
        <f>IFERROR(__xludf.DUMMYFUNCTION("XLOOKUP(B392,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""-"")"),"SATHISH KUMAR R")</f>
        <v>SATHISH KUMAR R</v>
      </c>
      <c r="D392" s="17" t="str">
        <f>IFERROR(__xludf.DUMMYFUNCTION("XLOOKUP(B392,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2" s="51" t="s">
        <v>125</v>
      </c>
      <c r="F392" s="14">
        <v>3.46</v>
      </c>
      <c r="G392" s="14" t="s">
        <v>252</v>
      </c>
      <c r="H392" s="14"/>
      <c r="I392" s="14" t="s">
        <v>432</v>
      </c>
      <c r="J392" s="14" t="s">
        <v>650</v>
      </c>
      <c r="K392" s="17" t="str">
        <f>IFERROR(__xludf.DUMMYFUNCTION("XLOOKUP(B392,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""-"")"),"sathishkumar.ec23@bitsathy.ac.in")</f>
        <v>sathishkumar.ec23@bitsathy.ac.in</v>
      </c>
      <c r="L392" s="21" t="str">
        <f>IFERROR(__xludf.DUMMYFUNCTION("XLOOKUP(B392,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""-"")"),"6374448625")</f>
        <v>6374448625</v>
      </c>
      <c r="M392" s="14" t="s">
        <v>71</v>
      </c>
      <c r="N392" s="14" t="s">
        <v>559</v>
      </c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22"/>
      <c r="AA392" s="22"/>
      <c r="AB392" s="22"/>
      <c r="AC392" s="22"/>
      <c r="AD392" s="22"/>
    </row>
    <row r="393">
      <c r="A393" s="21">
        <v>392.0</v>
      </c>
      <c r="B393" s="32" t="s">
        <v>704</v>
      </c>
      <c r="C393" s="16" t="str">
        <f>IFERROR(__xludf.DUMMYFUNCTION("XLOOKUP(B393,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""-"")"),"SAVEETHA S")</f>
        <v>SAVEETHA S</v>
      </c>
      <c r="D393" s="17" t="str">
        <f>IFERROR(__xludf.DUMMYFUNCTION("XLOOKUP(B393,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3" s="51" t="s">
        <v>125</v>
      </c>
      <c r="F393" s="14">
        <v>3.46</v>
      </c>
      <c r="G393" s="14" t="s">
        <v>252</v>
      </c>
      <c r="H393" s="14"/>
      <c r="I393" s="14" t="s">
        <v>432</v>
      </c>
      <c r="J393" s="14" t="s">
        <v>650</v>
      </c>
      <c r="K393" s="17" t="str">
        <f>IFERROR(__xludf.DUMMYFUNCTION("XLOOKUP(B393,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""-"")"),"saveetha.ec23@bitsathy.ac.in")</f>
        <v>saveetha.ec23@bitsathy.ac.in</v>
      </c>
      <c r="L393" s="21" t="str">
        <f>IFERROR(__xludf.DUMMYFUNCTION("XLOOKUP(B393,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""-"")"),"9865942044")</f>
        <v>9865942044</v>
      </c>
      <c r="M393" s="14" t="s">
        <v>71</v>
      </c>
      <c r="N393" s="14" t="s">
        <v>559</v>
      </c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22"/>
      <c r="AA393" s="22"/>
      <c r="AB393" s="22"/>
      <c r="AC393" s="22"/>
      <c r="AD393" s="22"/>
    </row>
    <row r="394">
      <c r="A394" s="21">
        <v>393.0</v>
      </c>
      <c r="B394" s="32" t="s">
        <v>705</v>
      </c>
      <c r="C394" s="16" t="str">
        <f>IFERROR(__xludf.DUMMYFUNCTION("XLOOKUP(B394,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""-"")"),"SHAAJITH R")</f>
        <v>SHAAJITH R</v>
      </c>
      <c r="D394" s="17" t="str">
        <f>IFERROR(__xludf.DUMMYFUNCTION("XLOOKUP(B394,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4" s="51" t="s">
        <v>125</v>
      </c>
      <c r="F394" s="14">
        <v>3.46</v>
      </c>
      <c r="G394" s="14" t="s">
        <v>252</v>
      </c>
      <c r="H394" s="14"/>
      <c r="I394" s="14" t="s">
        <v>432</v>
      </c>
      <c r="J394" s="14" t="s">
        <v>650</v>
      </c>
      <c r="K394" s="17" t="str">
        <f>IFERROR(__xludf.DUMMYFUNCTION("XLOOKUP(B394,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""-"")"),"shaajith.ec23@bitsathy.ac.in")</f>
        <v>shaajith.ec23@bitsathy.ac.in</v>
      </c>
      <c r="L394" s="21" t="str">
        <f>IFERROR(__xludf.DUMMYFUNCTION("XLOOKUP(B394,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""-"")"),"9345694919")</f>
        <v>9345694919</v>
      </c>
      <c r="M394" s="14" t="s">
        <v>71</v>
      </c>
      <c r="N394" s="14" t="s">
        <v>559</v>
      </c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22"/>
      <c r="AA394" s="22"/>
      <c r="AB394" s="22"/>
      <c r="AC394" s="22"/>
      <c r="AD394" s="22"/>
    </row>
    <row r="395">
      <c r="A395" s="21">
        <v>394.0</v>
      </c>
      <c r="B395" s="32" t="s">
        <v>706</v>
      </c>
      <c r="C395" s="16" t="str">
        <f>IFERROR(__xludf.DUMMYFUNCTION("XLOOKUP(B395,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""-"")"),"SHANUSH")</f>
        <v>SHANUSH</v>
      </c>
      <c r="D395" s="17" t="str">
        <f>IFERROR(__xludf.DUMMYFUNCTION("XLOOKUP(B395,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5" s="51" t="s">
        <v>125</v>
      </c>
      <c r="F395" s="14">
        <v>3.46</v>
      </c>
      <c r="G395" s="14" t="s">
        <v>252</v>
      </c>
      <c r="H395" s="14"/>
      <c r="I395" s="14" t="s">
        <v>432</v>
      </c>
      <c r="J395" s="14" t="s">
        <v>650</v>
      </c>
      <c r="K395" s="17" t="str">
        <f>IFERROR(__xludf.DUMMYFUNCTION("XLOOKUP(B395,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""-"")"),"shanush.ec23@bitsathy.ac.in")</f>
        <v>shanush.ec23@bitsathy.ac.in</v>
      </c>
      <c r="L395" s="21" t="str">
        <f>IFERROR(__xludf.DUMMYFUNCTION("XLOOKUP(B395,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""-"")"),"7868935315")</f>
        <v>7868935315</v>
      </c>
      <c r="M395" s="14" t="s">
        <v>71</v>
      </c>
      <c r="N395" s="14" t="s">
        <v>559</v>
      </c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22"/>
      <c r="AA395" s="22"/>
      <c r="AB395" s="22"/>
      <c r="AC395" s="22"/>
      <c r="AD395" s="22"/>
    </row>
    <row r="396">
      <c r="A396" s="21">
        <v>395.0</v>
      </c>
      <c r="B396" s="32" t="s">
        <v>707</v>
      </c>
      <c r="C396" s="16" t="str">
        <f>IFERROR(__xludf.DUMMYFUNCTION("XLOOKUP(B396,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NIVITHA S")</f>
        <v>SRI NIVITHA S</v>
      </c>
      <c r="D396" s="17" t="str">
        <f>IFERROR(__xludf.DUMMYFUNCTION("XLOOKUP(B396,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6" s="51" t="s">
        <v>125</v>
      </c>
      <c r="F396" s="14">
        <v>3.46</v>
      </c>
      <c r="G396" s="14" t="s">
        <v>252</v>
      </c>
      <c r="H396" s="14"/>
      <c r="I396" s="14" t="s">
        <v>432</v>
      </c>
      <c r="J396" s="14" t="s">
        <v>650</v>
      </c>
      <c r="K396" s="17" t="str">
        <f>IFERROR(__xludf.DUMMYFUNCTION("XLOOKUP(B396,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""-"")"),"srinivitha.ec23@bitsathy.ac.in")</f>
        <v>srinivitha.ec23@bitsathy.ac.in</v>
      </c>
      <c r="L396" s="21" t="str">
        <f>IFERROR(__xludf.DUMMYFUNCTION("XLOOKUP(B396,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""-"")"),"8883273664")</f>
        <v>8883273664</v>
      </c>
      <c r="M396" s="14" t="s">
        <v>71</v>
      </c>
      <c r="N396" s="14" t="s">
        <v>559</v>
      </c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22"/>
      <c r="AA396" s="22"/>
      <c r="AB396" s="22"/>
      <c r="AC396" s="22"/>
      <c r="AD396" s="22"/>
    </row>
    <row r="397">
      <c r="A397" s="21">
        <v>396.0</v>
      </c>
      <c r="B397" s="32" t="s">
        <v>708</v>
      </c>
      <c r="C397" s="16" t="str">
        <f>IFERROR(__xludf.DUMMYFUNCTION("XLOOKUP(B397,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""-"")"),"SURYANARAYANA B G")</f>
        <v>SURYANARAYANA B G</v>
      </c>
      <c r="D397" s="17" t="str">
        <f>IFERROR(__xludf.DUMMYFUNCTION("XLOOKUP(B397,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7" s="51" t="s">
        <v>125</v>
      </c>
      <c r="F397" s="14">
        <v>3.46</v>
      </c>
      <c r="G397" s="14" t="s">
        <v>252</v>
      </c>
      <c r="H397" s="14"/>
      <c r="I397" s="14" t="s">
        <v>432</v>
      </c>
      <c r="J397" s="14" t="s">
        <v>650</v>
      </c>
      <c r="K397" s="17" t="str">
        <f>IFERROR(__xludf.DUMMYFUNCTION("XLOOKUP(B397,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""-"")"),"suryanarayana.ec23@bitsathy.ac.in")</f>
        <v>suryanarayana.ec23@bitsathy.ac.in</v>
      </c>
      <c r="L397" s="21" t="str">
        <f>IFERROR(__xludf.DUMMYFUNCTION("XLOOKUP(B397,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""-"")"),"8610668737")</f>
        <v>8610668737</v>
      </c>
      <c r="M397" s="14" t="s">
        <v>71</v>
      </c>
      <c r="N397" s="14" t="s">
        <v>559</v>
      </c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22"/>
      <c r="AA397" s="22"/>
      <c r="AB397" s="22"/>
      <c r="AC397" s="22"/>
      <c r="AD397" s="22"/>
    </row>
    <row r="398">
      <c r="A398" s="21">
        <v>397.0</v>
      </c>
      <c r="B398" s="32" t="s">
        <v>709</v>
      </c>
      <c r="C398" s="16" t="str">
        <f>IFERROR(__xludf.DUMMYFUNCTION("XLOOKUP(B398,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""-"")"),"VAISHNAVI B")</f>
        <v>VAISHNAVI B</v>
      </c>
      <c r="D398" s="17" t="str">
        <f>IFERROR(__xludf.DUMMYFUNCTION("XLOOKUP(B398,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8" s="51" t="s">
        <v>125</v>
      </c>
      <c r="F398" s="14">
        <v>3.46</v>
      </c>
      <c r="G398" s="14" t="s">
        <v>252</v>
      </c>
      <c r="H398" s="14"/>
      <c r="I398" s="14" t="s">
        <v>432</v>
      </c>
      <c r="J398" s="14" t="s">
        <v>650</v>
      </c>
      <c r="K398" s="17" t="str">
        <f>IFERROR(__xludf.DUMMYFUNCTION("XLOOKUP(B398,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""-"")"),"vaishnavib.ec23@bitsathy.ac.in")</f>
        <v>vaishnavib.ec23@bitsathy.ac.in</v>
      </c>
      <c r="L398" s="21" t="str">
        <f>IFERROR(__xludf.DUMMYFUNCTION("XLOOKUP(B398,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""-"")"),"8220619167")</f>
        <v>8220619167</v>
      </c>
      <c r="M398" s="14" t="s">
        <v>71</v>
      </c>
      <c r="N398" s="14" t="s">
        <v>559</v>
      </c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22"/>
      <c r="AA398" s="22"/>
      <c r="AB398" s="22"/>
      <c r="AC398" s="22"/>
      <c r="AD398" s="22"/>
    </row>
    <row r="399">
      <c r="A399" s="21">
        <v>398.0</v>
      </c>
      <c r="B399" s="32" t="s">
        <v>710</v>
      </c>
      <c r="C399" s="16" t="str">
        <f>IFERROR(__xludf.DUMMYFUNCTION("XLOOKUP(B399,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""-"")"),"VISHAL S")</f>
        <v>VISHAL S</v>
      </c>
      <c r="D399" s="17" t="str">
        <f>IFERROR(__xludf.DUMMYFUNCTION("XLOOKUP(B399,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399" s="51" t="s">
        <v>125</v>
      </c>
      <c r="F399" s="14">
        <v>3.46</v>
      </c>
      <c r="G399" s="14" t="s">
        <v>252</v>
      </c>
      <c r="H399" s="14"/>
      <c r="I399" s="14" t="s">
        <v>432</v>
      </c>
      <c r="J399" s="14" t="s">
        <v>650</v>
      </c>
      <c r="K399" s="17" t="str">
        <f>IFERROR(__xludf.DUMMYFUNCTION("XLOOKUP(B399,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""-"")"),"vishals.ec23@bitsathy.ac.in")</f>
        <v>vishals.ec23@bitsathy.ac.in</v>
      </c>
      <c r="L399" s="21" t="str">
        <f>IFERROR(__xludf.DUMMYFUNCTION("XLOOKUP(B399,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""-"")"),"7604895960")</f>
        <v>7604895960</v>
      </c>
      <c r="M399" s="14" t="s">
        <v>71</v>
      </c>
      <c r="N399" s="14" t="s">
        <v>559</v>
      </c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22"/>
      <c r="AA399" s="22"/>
      <c r="AB399" s="22"/>
      <c r="AC399" s="22"/>
      <c r="AD399" s="22"/>
    </row>
    <row r="400">
      <c r="A400" s="21">
        <v>399.0</v>
      </c>
      <c r="B400" s="32" t="s">
        <v>711</v>
      </c>
      <c r="C400" s="16" t="str">
        <f>IFERROR(__xludf.DUMMYFUNCTION("XLOOKUP(B400,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""-"")"),"ASHOK J")</f>
        <v>ASHOK J</v>
      </c>
      <c r="D400" s="17" t="str">
        <f>IFERROR(__xludf.DUMMYFUNCTION("XLOOKUP(B400,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00" s="51" t="s">
        <v>125</v>
      </c>
      <c r="F400" s="14">
        <v>3.46</v>
      </c>
      <c r="G400" s="14" t="s">
        <v>252</v>
      </c>
      <c r="H400" s="14"/>
      <c r="I400" s="14" t="s">
        <v>432</v>
      </c>
      <c r="J400" s="14" t="s">
        <v>650</v>
      </c>
      <c r="K400" s="17" t="str">
        <f>IFERROR(__xludf.DUMMYFUNCTION("XLOOKUP(B400,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""-"")"),"ashokj.ec23@bitsathy.ac.in")</f>
        <v>ashokj.ec23@bitsathy.ac.in</v>
      </c>
      <c r="L400" s="21" t="str">
        <f>IFERROR(__xludf.DUMMYFUNCTION("XLOOKUP(B400,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""-"")"),"6379535004")</f>
        <v>6379535004</v>
      </c>
      <c r="M400" s="14" t="s">
        <v>71</v>
      </c>
      <c r="N400" s="14" t="s">
        <v>559</v>
      </c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22"/>
      <c r="AA400" s="22"/>
      <c r="AB400" s="22"/>
      <c r="AC400" s="22"/>
      <c r="AD400" s="22"/>
    </row>
    <row r="401">
      <c r="A401" s="21">
        <v>400.0</v>
      </c>
      <c r="B401" s="32" t="s">
        <v>712</v>
      </c>
      <c r="C401" s="16" t="str">
        <f>IFERROR(__xludf.DUMMYFUNCTION("XLOOKUP(B401,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""-"")"),"ADHISH S")</f>
        <v>ADHISH S</v>
      </c>
      <c r="D401" s="17" t="str">
        <f>IFERROR(__xludf.DUMMYFUNCTION("XLOOKUP(B401,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401" s="51" t="s">
        <v>125</v>
      </c>
      <c r="F401" s="14">
        <v>3.46</v>
      </c>
      <c r="G401" s="14" t="s">
        <v>252</v>
      </c>
      <c r="H401" s="14"/>
      <c r="I401" s="14" t="s">
        <v>432</v>
      </c>
      <c r="J401" s="14" t="s">
        <v>650</v>
      </c>
      <c r="K401" s="17" t="str">
        <f>IFERROR(__xludf.DUMMYFUNCTION("XLOOKUP(B401,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""-"")"),"adhish.ei23@bitsathy.ac.in")</f>
        <v>adhish.ei23@bitsathy.ac.in</v>
      </c>
      <c r="L401" s="21" t="str">
        <f>IFERROR(__xludf.DUMMYFUNCTION("XLOOKUP(B401,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""-"")"),"6369976727")</f>
        <v>6369976727</v>
      </c>
      <c r="M401" s="14" t="s">
        <v>71</v>
      </c>
      <c r="N401" s="14" t="s">
        <v>559</v>
      </c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22"/>
      <c r="AA401" s="22"/>
      <c r="AB401" s="22"/>
      <c r="AC401" s="22"/>
      <c r="AD401" s="22"/>
    </row>
    <row r="402">
      <c r="A402" s="21">
        <v>401.0</v>
      </c>
      <c r="B402" s="32" t="s">
        <v>713</v>
      </c>
      <c r="C402" s="16" t="str">
        <f>IFERROR(__xludf.DUMMYFUNCTION("XLOOKUP(B402,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""-"")"),"JANANI S")</f>
        <v>JANANI S</v>
      </c>
      <c r="D402" s="17" t="str">
        <f>IFERROR(__xludf.DUMMYFUNCTION("XLOOKUP(B402,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402" s="51" t="s">
        <v>125</v>
      </c>
      <c r="F402" s="14">
        <v>3.46</v>
      </c>
      <c r="G402" s="14" t="s">
        <v>252</v>
      </c>
      <c r="H402" s="14"/>
      <c r="I402" s="14" t="s">
        <v>432</v>
      </c>
      <c r="J402" s="14" t="s">
        <v>650</v>
      </c>
      <c r="K402" s="17" t="str">
        <f>IFERROR(__xludf.DUMMYFUNCTION("XLOOKUP(B402,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""-"")"),"jananis.ei23@bitsathy.ac.in")</f>
        <v>jananis.ei23@bitsathy.ac.in</v>
      </c>
      <c r="L402" s="21" t="str">
        <f>IFERROR(__xludf.DUMMYFUNCTION("XLOOKUP(B402,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""-"")"),"8778010894")</f>
        <v>8778010894</v>
      </c>
      <c r="M402" s="14" t="s">
        <v>71</v>
      </c>
      <c r="N402" s="14" t="s">
        <v>559</v>
      </c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22"/>
      <c r="AA402" s="22"/>
      <c r="AB402" s="22"/>
      <c r="AC402" s="22"/>
      <c r="AD402" s="22"/>
    </row>
    <row r="403">
      <c r="A403" s="21">
        <v>402.0</v>
      </c>
      <c r="B403" s="32" t="s">
        <v>714</v>
      </c>
      <c r="C403" s="16" t="str">
        <f>IFERROR(__xludf.DUMMYFUNCTION("XLOOKUP(B403,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""-"")"),"NAVYATA T")</f>
        <v>NAVYATA T</v>
      </c>
      <c r="D403" s="17" t="str">
        <f>IFERROR(__xludf.DUMMYFUNCTION("XLOOKUP(B403,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403" s="51" t="s">
        <v>125</v>
      </c>
      <c r="F403" s="14">
        <v>3.46</v>
      </c>
      <c r="G403" s="14" t="s">
        <v>252</v>
      </c>
      <c r="H403" s="14"/>
      <c r="I403" s="14" t="s">
        <v>432</v>
      </c>
      <c r="J403" s="14" t="s">
        <v>650</v>
      </c>
      <c r="K403" s="17" t="str">
        <f>IFERROR(__xludf.DUMMYFUNCTION("XLOOKUP(B403,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""-"")"),"navyata.ei23@bitsathy.ac.in")</f>
        <v>navyata.ei23@bitsathy.ac.in</v>
      </c>
      <c r="L403" s="21" t="str">
        <f>IFERROR(__xludf.DUMMYFUNCTION("XLOOKUP(B403,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""-"")"),"7871149906")</f>
        <v>7871149906</v>
      </c>
      <c r="M403" s="14" t="s">
        <v>71</v>
      </c>
      <c r="N403" s="14" t="s">
        <v>559</v>
      </c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22"/>
      <c r="AA403" s="22"/>
      <c r="AB403" s="22"/>
      <c r="AC403" s="22"/>
      <c r="AD403" s="22"/>
    </row>
    <row r="404">
      <c r="A404" s="21">
        <v>403.0</v>
      </c>
      <c r="B404" s="32" t="s">
        <v>575</v>
      </c>
      <c r="C404" s="16" t="str">
        <f>IFERROR(__xludf.DUMMYFUNCTION("XLOOKUP(B404,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""-"")"),"SHANJUTHA G S")</f>
        <v>SHANJUTHA G S</v>
      </c>
      <c r="D404" s="17" t="str">
        <f>IFERROR(__xludf.DUMMYFUNCTION("XLOOKUP(B404,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404" s="51" t="s">
        <v>125</v>
      </c>
      <c r="F404" s="14">
        <v>3.46</v>
      </c>
      <c r="G404" s="14" t="s">
        <v>252</v>
      </c>
      <c r="H404" s="14"/>
      <c r="I404" s="14" t="s">
        <v>432</v>
      </c>
      <c r="J404" s="14" t="s">
        <v>650</v>
      </c>
      <c r="K404" s="17" t="str">
        <f>IFERROR(__xludf.DUMMYFUNCTION("XLOOKUP(B404,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""-"")"),"shanjutha.se23@bitsathy.ac.in")</f>
        <v>shanjutha.se23@bitsathy.ac.in</v>
      </c>
      <c r="L404" s="21" t="str">
        <f>IFERROR(__xludf.DUMMYFUNCTION("XLOOKUP(B404,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""-"")"),"9894666169")</f>
        <v>9894666169</v>
      </c>
      <c r="M404" s="14" t="s">
        <v>71</v>
      </c>
      <c r="N404" s="14" t="s">
        <v>559</v>
      </c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22"/>
      <c r="AA404" s="22"/>
      <c r="AB404" s="22"/>
      <c r="AC404" s="22"/>
      <c r="AD404" s="22"/>
    </row>
    <row r="405">
      <c r="A405" s="21">
        <v>404.0</v>
      </c>
      <c r="B405" s="32" t="s">
        <v>715</v>
      </c>
      <c r="C405" s="16" t="str">
        <f>IFERROR(__xludf.DUMMYFUNCTION("XLOOKUP(B405,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""-"")"),"ABDUL RAHMAN SUDAIS M")</f>
        <v>ABDUL RAHMAN SUDAIS M</v>
      </c>
      <c r="D405" s="17" t="str">
        <f>IFERROR(__xludf.DUMMYFUNCTION("XLOOKUP(B405,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05" s="51" t="s">
        <v>125</v>
      </c>
      <c r="F405" s="14">
        <v>3.46</v>
      </c>
      <c r="G405" s="14" t="s">
        <v>252</v>
      </c>
      <c r="H405" s="14"/>
      <c r="I405" s="14" t="s">
        <v>432</v>
      </c>
      <c r="J405" s="14" t="s">
        <v>650</v>
      </c>
      <c r="K405" s="17" t="str">
        <f>IFERROR(__xludf.DUMMYFUNCTION("XLOOKUP(B405,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""-"")"),"abdulrahmansudais.it23@bitsathy.ac.in")</f>
        <v>abdulrahmansudais.it23@bitsathy.ac.in</v>
      </c>
      <c r="L405" s="21" t="str">
        <f>IFERROR(__xludf.DUMMYFUNCTION("XLOOKUP(B405,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""-"")"),"7418363407")</f>
        <v>7418363407</v>
      </c>
      <c r="M405" s="14" t="s">
        <v>71</v>
      </c>
      <c r="N405" s="14" t="s">
        <v>559</v>
      </c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22"/>
      <c r="AA405" s="22"/>
      <c r="AB405" s="22"/>
      <c r="AC405" s="22"/>
      <c r="AD405" s="22"/>
    </row>
    <row r="406">
      <c r="A406" s="21">
        <v>405.0</v>
      </c>
      <c r="B406" s="32" t="s">
        <v>716</v>
      </c>
      <c r="C406" s="16" t="str">
        <f>IFERROR(__xludf.DUMMYFUNCTION("XLOOKUP(B406,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""-"")"),"HARIVARSHA G")</f>
        <v>HARIVARSHA G</v>
      </c>
      <c r="D406" s="17" t="str">
        <f>IFERROR(__xludf.DUMMYFUNCTION("XLOOKUP(B406,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06" s="51" t="s">
        <v>125</v>
      </c>
      <c r="F406" s="14">
        <v>3.46</v>
      </c>
      <c r="G406" s="14" t="s">
        <v>252</v>
      </c>
      <c r="H406" s="14"/>
      <c r="I406" s="14" t="s">
        <v>432</v>
      </c>
      <c r="J406" s="14" t="s">
        <v>650</v>
      </c>
      <c r="K406" s="17" t="str">
        <f>IFERROR(__xludf.DUMMYFUNCTION("XLOOKUP(B406,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""-"")"),"harivarsha.it23@bitsathy.ac.in")</f>
        <v>harivarsha.it23@bitsathy.ac.in</v>
      </c>
      <c r="L406" s="21" t="str">
        <f>IFERROR(__xludf.DUMMYFUNCTION("XLOOKUP(B406,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""-"")"),"6382021118")</f>
        <v>6382021118</v>
      </c>
      <c r="M406" s="14" t="s">
        <v>71</v>
      </c>
      <c r="N406" s="14" t="s">
        <v>559</v>
      </c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22"/>
      <c r="AA406" s="22"/>
      <c r="AB406" s="22"/>
      <c r="AC406" s="22"/>
      <c r="AD406" s="22"/>
    </row>
    <row r="407">
      <c r="A407" s="21">
        <v>406.0</v>
      </c>
      <c r="B407" s="32" t="s">
        <v>306</v>
      </c>
      <c r="C407" s="16" t="str">
        <f>IFERROR(__xludf.DUMMYFUNCTION("XLOOKUP(B407,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""-"")"),"KAVENA S")</f>
        <v>KAVENA S</v>
      </c>
      <c r="D407" s="17" t="str">
        <f>IFERROR(__xludf.DUMMYFUNCTION("XLOOKUP(B407,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07" s="51" t="s">
        <v>125</v>
      </c>
      <c r="F407" s="14">
        <v>3.46</v>
      </c>
      <c r="G407" s="14" t="s">
        <v>252</v>
      </c>
      <c r="H407" s="14"/>
      <c r="I407" s="14" t="s">
        <v>432</v>
      </c>
      <c r="J407" s="14" t="s">
        <v>650</v>
      </c>
      <c r="K407" s="17" t="str">
        <f>IFERROR(__xludf.DUMMYFUNCTION("XLOOKUP(B407,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""-"")"),"kavena.it23@bitsathy.ac.in")</f>
        <v>kavena.it23@bitsathy.ac.in</v>
      </c>
      <c r="L407" s="21" t="str">
        <f>IFERROR(__xludf.DUMMYFUNCTION("XLOOKUP(B407,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""-"")"),"8610491920")</f>
        <v>8610491920</v>
      </c>
      <c r="M407" s="14" t="s">
        <v>71</v>
      </c>
      <c r="N407" s="14" t="s">
        <v>559</v>
      </c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22"/>
      <c r="AA407" s="22"/>
      <c r="AB407" s="22"/>
      <c r="AC407" s="22"/>
      <c r="AD407" s="22"/>
    </row>
    <row r="408">
      <c r="A408" s="21">
        <v>407.0</v>
      </c>
      <c r="B408" s="32" t="s">
        <v>717</v>
      </c>
      <c r="C408" s="16" t="str">
        <f>IFERROR(__xludf.DUMMYFUNCTION("XLOOKUP(B408,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""-"")"),"KAVYA S")</f>
        <v>KAVYA S</v>
      </c>
      <c r="D408" s="17" t="str">
        <f>IFERROR(__xludf.DUMMYFUNCTION("XLOOKUP(B408,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08" s="51" t="s">
        <v>125</v>
      </c>
      <c r="F408" s="14">
        <v>3.46</v>
      </c>
      <c r="G408" s="14" t="s">
        <v>252</v>
      </c>
      <c r="H408" s="14"/>
      <c r="I408" s="14" t="s">
        <v>432</v>
      </c>
      <c r="J408" s="14" t="s">
        <v>650</v>
      </c>
      <c r="K408" s="17" t="str">
        <f>IFERROR(__xludf.DUMMYFUNCTION("XLOOKUP(B408,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""-"")"),"kavya.it23@bitsathy.ac.in")</f>
        <v>kavya.it23@bitsathy.ac.in</v>
      </c>
      <c r="L408" s="21" t="str">
        <f>IFERROR(__xludf.DUMMYFUNCTION("XLOOKUP(B408,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""-"")"),"7639026120")</f>
        <v>7639026120</v>
      </c>
      <c r="M408" s="14" t="s">
        <v>71</v>
      </c>
      <c r="N408" s="14" t="s">
        <v>559</v>
      </c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22"/>
      <c r="AA408" s="22"/>
      <c r="AB408" s="22"/>
      <c r="AC408" s="22"/>
      <c r="AD408" s="22"/>
    </row>
    <row r="409">
      <c r="A409" s="21">
        <v>408.0</v>
      </c>
      <c r="B409" s="32" t="s">
        <v>718</v>
      </c>
      <c r="C409" s="16" t="str">
        <f>IFERROR(__xludf.DUMMYFUNCTION("XLOOKUP(B409,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""-"")"),"VISHWA S")</f>
        <v>VISHWA S</v>
      </c>
      <c r="D409" s="17" t="str">
        <f>IFERROR(__xludf.DUMMYFUNCTION("XLOOKUP(B409,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09" s="51" t="s">
        <v>125</v>
      </c>
      <c r="F409" s="14">
        <v>3.46</v>
      </c>
      <c r="G409" s="14" t="s">
        <v>252</v>
      </c>
      <c r="H409" s="14"/>
      <c r="I409" s="14" t="s">
        <v>432</v>
      </c>
      <c r="J409" s="14" t="s">
        <v>650</v>
      </c>
      <c r="K409" s="17" t="str">
        <f>IFERROR(__xludf.DUMMYFUNCTION("XLOOKUP(B409,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""-"")"),"vishwa.it23@bitsathy.ac.in")</f>
        <v>vishwa.it23@bitsathy.ac.in</v>
      </c>
      <c r="L409" s="21" t="str">
        <f>IFERROR(__xludf.DUMMYFUNCTION("XLOOKUP(B409,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""-"")"),"9361312898")</f>
        <v>9361312898</v>
      </c>
      <c r="M409" s="14" t="s">
        <v>71</v>
      </c>
      <c r="N409" s="14" t="s">
        <v>559</v>
      </c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22"/>
      <c r="AA409" s="22"/>
      <c r="AB409" s="22"/>
      <c r="AC409" s="22"/>
      <c r="AD409" s="22"/>
    </row>
    <row r="410">
      <c r="A410" s="21">
        <v>409.0</v>
      </c>
      <c r="B410" s="32" t="s">
        <v>719</v>
      </c>
      <c r="C410" s="16" t="str">
        <f>IFERROR(__xludf.DUMMYFUNCTION("XLOOKUP(B410,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 KUMAR P")</f>
        <v>THARUN KUMAR P</v>
      </c>
      <c r="D410" s="17" t="str">
        <f>IFERROR(__xludf.DUMMYFUNCTION("XLOOKUP(B410,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10" s="51" t="s">
        <v>125</v>
      </c>
      <c r="F410" s="14">
        <v>3.46</v>
      </c>
      <c r="G410" s="14" t="s">
        <v>252</v>
      </c>
      <c r="H410" s="14"/>
      <c r="I410" s="14" t="s">
        <v>432</v>
      </c>
      <c r="J410" s="14" t="s">
        <v>650</v>
      </c>
      <c r="K410" s="17" t="str">
        <f>IFERROR(__xludf.DUMMYFUNCTION("XLOOKUP(B410,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""-"")"),"tharunkumar.me23@bitsathy.ac.in")</f>
        <v>tharunkumar.me23@bitsathy.ac.in</v>
      </c>
      <c r="L410" s="21" t="str">
        <f>IFERROR(__xludf.DUMMYFUNCTION("XLOOKUP(B410,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""-"")"),"7806828867")</f>
        <v>7806828867</v>
      </c>
      <c r="M410" s="14" t="s">
        <v>71</v>
      </c>
      <c r="N410" s="14" t="s">
        <v>559</v>
      </c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22"/>
      <c r="AA410" s="22"/>
      <c r="AB410" s="22"/>
      <c r="AC410" s="22"/>
      <c r="AD410" s="22"/>
    </row>
    <row r="411">
      <c r="A411" s="21">
        <v>410.0</v>
      </c>
      <c r="B411" s="32" t="s">
        <v>720</v>
      </c>
      <c r="C411" s="16" t="str">
        <f>IFERROR(__xludf.DUMMYFUNCTION("XLOOKUP(B411,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""-"")"),"CHANDRA ATHITHYA M")</f>
        <v>CHANDRA ATHITHYA M</v>
      </c>
      <c r="D411" s="17" t="str">
        <f>IFERROR(__xludf.DUMMYFUNCTION("XLOOKUP(B411,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11" s="51" t="s">
        <v>125</v>
      </c>
      <c r="F411" s="14">
        <v>3.46</v>
      </c>
      <c r="G411" s="14" t="s">
        <v>252</v>
      </c>
      <c r="H411" s="14"/>
      <c r="I411" s="14" t="s">
        <v>432</v>
      </c>
      <c r="J411" s="14" t="s">
        <v>650</v>
      </c>
      <c r="K411" s="17" t="str">
        <f>IFERROR(__xludf.DUMMYFUNCTION("XLOOKUP(B411,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""-"")"),"chandraathithya.mz23@bitsathy.ac.in")</f>
        <v>chandraathithya.mz23@bitsathy.ac.in</v>
      </c>
      <c r="L411" s="21" t="str">
        <f>IFERROR(__xludf.DUMMYFUNCTION("XLOOKUP(B411,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""-"")"),"9597677407")</f>
        <v>9597677407</v>
      </c>
      <c r="M411" s="14" t="s">
        <v>71</v>
      </c>
      <c r="N411" s="14" t="s">
        <v>559</v>
      </c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22"/>
      <c r="AA411" s="22"/>
      <c r="AB411" s="22"/>
      <c r="AC411" s="22"/>
      <c r="AD411" s="22"/>
    </row>
    <row r="412">
      <c r="A412" s="21">
        <v>411.0</v>
      </c>
      <c r="B412" s="32" t="s">
        <v>721</v>
      </c>
      <c r="C412" s="16" t="str">
        <f>IFERROR(__xludf.DUMMYFUNCTION("XLOOKUP(B412,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""-"")"),"KISHANTH RANGASAMY MOHANASUNDARAM")</f>
        <v>KISHANTH RANGASAMY MOHANASUNDARAM</v>
      </c>
      <c r="D412" s="17" t="str">
        <f>IFERROR(__xludf.DUMMYFUNCTION("XLOOKUP(B412,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12" s="51" t="s">
        <v>125</v>
      </c>
      <c r="F412" s="14">
        <v>3.46</v>
      </c>
      <c r="G412" s="14" t="s">
        <v>252</v>
      </c>
      <c r="H412" s="14"/>
      <c r="I412" s="14" t="s">
        <v>432</v>
      </c>
      <c r="J412" s="14" t="s">
        <v>650</v>
      </c>
      <c r="K412" s="17" t="str">
        <f>IFERROR(__xludf.DUMMYFUNCTION("XLOOKUP(B412,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""-"")"),"kishanth.mz23@bitsathy.ac.in")</f>
        <v>kishanth.mz23@bitsathy.ac.in</v>
      </c>
      <c r="L412" s="21" t="str">
        <f>IFERROR(__xludf.DUMMYFUNCTION("XLOOKUP(B412,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""-"")"),"9489751957")</f>
        <v>9489751957</v>
      </c>
      <c r="M412" s="14" t="s">
        <v>71</v>
      </c>
      <c r="N412" s="14" t="s">
        <v>559</v>
      </c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22"/>
      <c r="AA412" s="22"/>
      <c r="AB412" s="22"/>
      <c r="AC412" s="22"/>
      <c r="AD412" s="22"/>
    </row>
    <row r="413">
      <c r="A413" s="21">
        <v>412.0</v>
      </c>
      <c r="B413" s="32" t="s">
        <v>722</v>
      </c>
      <c r="C413" s="16" t="str">
        <f>IFERROR(__xludf.DUMMYFUNCTION("XLOOKUP(B413,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""-"")"),"PRANAV Y")</f>
        <v>PRANAV Y</v>
      </c>
      <c r="D413" s="17" t="str">
        <f>IFERROR(__xludf.DUMMYFUNCTION("XLOOKUP(B413,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13" s="51" t="s">
        <v>125</v>
      </c>
      <c r="F413" s="14">
        <v>3.46</v>
      </c>
      <c r="G413" s="14" t="s">
        <v>252</v>
      </c>
      <c r="H413" s="14"/>
      <c r="I413" s="14" t="s">
        <v>432</v>
      </c>
      <c r="J413" s="14" t="s">
        <v>650</v>
      </c>
      <c r="K413" s="17" t="str">
        <f>IFERROR(__xludf.DUMMYFUNCTION("XLOOKUP(B413,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""-"")"),"pranav.mz23@bitsathy.ac.in")</f>
        <v>pranav.mz23@bitsathy.ac.in</v>
      </c>
      <c r="L413" s="21" t="str">
        <f>IFERROR(__xludf.DUMMYFUNCTION("XLOOKUP(B413,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""-"")"),"9944753258")</f>
        <v>9944753258</v>
      </c>
      <c r="M413" s="14" t="s">
        <v>71</v>
      </c>
      <c r="N413" s="14" t="s">
        <v>559</v>
      </c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22"/>
      <c r="AA413" s="22"/>
      <c r="AB413" s="22"/>
      <c r="AC413" s="22"/>
      <c r="AD413" s="22"/>
    </row>
    <row r="414">
      <c r="A414" s="21">
        <v>413.0</v>
      </c>
      <c r="B414" s="32" t="s">
        <v>723</v>
      </c>
      <c r="C414" s="16" t="str">
        <f>IFERROR(__xludf.DUMMYFUNCTION("XLOOKUP(B414,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""-"")"),"SHANKAR NIDHISH P")</f>
        <v>SHANKAR NIDHISH P</v>
      </c>
      <c r="D414" s="17" t="str">
        <f>IFERROR(__xludf.DUMMYFUNCTION("XLOOKUP(B414,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14" s="51" t="s">
        <v>125</v>
      </c>
      <c r="F414" s="14">
        <v>3.46</v>
      </c>
      <c r="G414" s="14" t="s">
        <v>252</v>
      </c>
      <c r="H414" s="14"/>
      <c r="I414" s="14" t="s">
        <v>432</v>
      </c>
      <c r="J414" s="14" t="s">
        <v>650</v>
      </c>
      <c r="K414" s="17" t="str">
        <f>IFERROR(__xludf.DUMMYFUNCTION("XLOOKUP(B414,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""-"")"),"shankarnidhish.mz23@bitsathy.ac.in")</f>
        <v>shankarnidhish.mz23@bitsathy.ac.in</v>
      </c>
      <c r="L414" s="21" t="str">
        <f>IFERROR(__xludf.DUMMYFUNCTION("XLOOKUP(B414,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""-"")"),"8248446365")</f>
        <v>8248446365</v>
      </c>
      <c r="M414" s="14" t="s">
        <v>71</v>
      </c>
      <c r="N414" s="14" t="s">
        <v>559</v>
      </c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22"/>
      <c r="AA414" s="22"/>
      <c r="AB414" s="22"/>
      <c r="AC414" s="22"/>
      <c r="AD414" s="22"/>
    </row>
    <row r="415">
      <c r="A415" s="21">
        <v>414.0</v>
      </c>
      <c r="B415" s="32" t="s">
        <v>724</v>
      </c>
      <c r="C415" s="16" t="str">
        <f>IFERROR(__xludf.DUMMYFUNCTION("XLOOKUP(B415,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""-"")"),"SUDHARSAN S")</f>
        <v>SUDHARSAN S</v>
      </c>
      <c r="D415" s="17" t="str">
        <f>IFERROR(__xludf.DUMMYFUNCTION("XLOOKUP(B415,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15" s="51" t="s">
        <v>125</v>
      </c>
      <c r="F415" s="14">
        <v>3.46</v>
      </c>
      <c r="G415" s="14" t="s">
        <v>252</v>
      </c>
      <c r="H415" s="14"/>
      <c r="I415" s="14" t="s">
        <v>432</v>
      </c>
      <c r="J415" s="14" t="s">
        <v>650</v>
      </c>
      <c r="K415" s="17" t="str">
        <f>IFERROR(__xludf.DUMMYFUNCTION("XLOOKUP(B415,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""-"")"),"sudharsans.mz23@bitsathy.ac.in")</f>
        <v>sudharsans.mz23@bitsathy.ac.in</v>
      </c>
      <c r="L415" s="21" t="str">
        <f>IFERROR(__xludf.DUMMYFUNCTION("XLOOKUP(B415,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""-"")"),"7010051816")</f>
        <v>7010051816</v>
      </c>
      <c r="M415" s="14" t="s">
        <v>71</v>
      </c>
      <c r="N415" s="14" t="s">
        <v>559</v>
      </c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22"/>
      <c r="AA415" s="22"/>
      <c r="AB415" s="22"/>
      <c r="AC415" s="22"/>
      <c r="AD415" s="22"/>
    </row>
    <row r="416">
      <c r="A416" s="21">
        <v>415.0</v>
      </c>
      <c r="B416" s="32" t="s">
        <v>725</v>
      </c>
      <c r="C416" s="16" t="str">
        <f>IFERROR(__xludf.DUMMYFUNCTION("XLOOKUP(B416,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""-"")"),"YOGESH KUMAR S")</f>
        <v>YOGESH KUMAR S</v>
      </c>
      <c r="D416" s="17" t="str">
        <f>IFERROR(__xludf.DUMMYFUNCTION("XLOOKUP(B416,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16" s="51" t="s">
        <v>125</v>
      </c>
      <c r="F416" s="14">
        <v>3.46</v>
      </c>
      <c r="G416" s="14" t="s">
        <v>252</v>
      </c>
      <c r="H416" s="14"/>
      <c r="I416" s="14" t="s">
        <v>432</v>
      </c>
      <c r="J416" s="14" t="s">
        <v>650</v>
      </c>
      <c r="K416" s="17" t="str">
        <f>IFERROR(__xludf.DUMMYFUNCTION("XLOOKUP(B416,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""-"")"),"yogeshkumar.me23@bitsathy.ac.in")</f>
        <v>yogeshkumar.me23@bitsathy.ac.in</v>
      </c>
      <c r="L416" s="21" t="str">
        <f>IFERROR(__xludf.DUMMYFUNCTION("XLOOKUP(B416,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""-"")"),"9080901518")</f>
        <v>9080901518</v>
      </c>
      <c r="M416" s="14" t="s">
        <v>71</v>
      </c>
      <c r="N416" s="14" t="s">
        <v>559</v>
      </c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22"/>
      <c r="AA416" s="22"/>
      <c r="AB416" s="22"/>
      <c r="AC416" s="22"/>
      <c r="AD416" s="22"/>
    </row>
    <row r="417">
      <c r="A417" s="21">
        <v>416.0</v>
      </c>
      <c r="B417" s="32" t="s">
        <v>726</v>
      </c>
      <c r="C417" s="16" t="str">
        <f>IFERROR(__xludf.DUMMYFUNCTION("XLOOKUP(B417,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""-"")"),"KOWSIK  R")</f>
        <v>KOWSIK  R</v>
      </c>
      <c r="D417" s="17" t="str">
        <f>IFERROR(__xludf.DUMMYFUNCTION("XLOOKUP(B417,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417" s="33" t="s">
        <v>194</v>
      </c>
      <c r="F417" s="14">
        <v>3.0</v>
      </c>
      <c r="G417" s="14" t="s">
        <v>59</v>
      </c>
      <c r="H417" s="14"/>
      <c r="I417" s="14" t="s">
        <v>136</v>
      </c>
      <c r="J417" s="14" t="s">
        <v>63</v>
      </c>
      <c r="K417" s="17" t="str">
        <f>IFERROR(__xludf.DUMMYFUNCTION("XLOOKUP(B417,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""-"")"),"kowsikr.ce23@bitsathy.ac.in")</f>
        <v>kowsikr.ce23@bitsathy.ac.in</v>
      </c>
      <c r="L417" s="21" t="str">
        <f>IFERROR(__xludf.DUMMYFUNCTION("XLOOKUP(B417,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""-"")"),"6374817922")</f>
        <v>6374817922</v>
      </c>
      <c r="M417" s="14" t="s">
        <v>71</v>
      </c>
      <c r="N417" s="14" t="s">
        <v>727</v>
      </c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22"/>
      <c r="AA417" s="22"/>
      <c r="AB417" s="22"/>
      <c r="AC417" s="22"/>
      <c r="AD417" s="22"/>
    </row>
    <row r="418">
      <c r="A418" s="21">
        <v>417.0</v>
      </c>
      <c r="B418" s="32" t="s">
        <v>728</v>
      </c>
      <c r="C418" s="16" t="str">
        <f>IFERROR(__xludf.DUMMYFUNCTION("XLOOKUP(B418,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""-"")"),"SARVESH U V")</f>
        <v>SARVESH U V</v>
      </c>
      <c r="D418" s="17" t="str">
        <f>IFERROR(__xludf.DUMMYFUNCTION("XLOOKUP(B418,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418" s="33" t="s">
        <v>194</v>
      </c>
      <c r="F418" s="14">
        <v>3.0</v>
      </c>
      <c r="G418" s="14" t="s">
        <v>59</v>
      </c>
      <c r="H418" s="14"/>
      <c r="I418" s="14" t="s">
        <v>136</v>
      </c>
      <c r="J418" s="14" t="s">
        <v>63</v>
      </c>
      <c r="K418" s="17" t="str">
        <f>IFERROR(__xludf.DUMMYFUNCTION("XLOOKUP(B418,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""-"")"),"sarveshuv.ce23@bitsathy.ac.in")</f>
        <v>sarveshuv.ce23@bitsathy.ac.in</v>
      </c>
      <c r="L418" s="21" t="str">
        <f>IFERROR(__xludf.DUMMYFUNCTION("XLOOKUP(B418,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""-"")"),"8940530206")</f>
        <v>8940530206</v>
      </c>
      <c r="M418" s="14" t="s">
        <v>71</v>
      </c>
      <c r="N418" s="14" t="s">
        <v>727</v>
      </c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22"/>
      <c r="AA418" s="22"/>
      <c r="AB418" s="22"/>
      <c r="AC418" s="22"/>
      <c r="AD418" s="22"/>
    </row>
    <row r="419">
      <c r="A419" s="21">
        <v>418.0</v>
      </c>
      <c r="B419" s="32" t="s">
        <v>729</v>
      </c>
      <c r="C419" s="16" t="str">
        <f>IFERROR(__xludf.DUMMYFUNCTION("XLOOKUP(B419,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""-"")"),"DHARANIDHARAN S")</f>
        <v>DHARANIDHARAN S</v>
      </c>
      <c r="D419" s="17" t="str">
        <f>IFERROR(__xludf.DUMMYFUNCTION("XLOOKUP(B419,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19" s="33" t="s">
        <v>198</v>
      </c>
      <c r="F419" s="14">
        <v>3.5</v>
      </c>
      <c r="G419" s="14" t="s">
        <v>59</v>
      </c>
      <c r="H419" s="14"/>
      <c r="I419" s="14" t="s">
        <v>136</v>
      </c>
      <c r="J419" s="14" t="s">
        <v>266</v>
      </c>
      <c r="K419" s="17" t="str">
        <f>IFERROR(__xludf.DUMMYFUNCTION("XLOOKUP(B419,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""-"")"),"dharanidharan.me23@bitsathy.ac.in")</f>
        <v>dharanidharan.me23@bitsathy.ac.in</v>
      </c>
      <c r="L419" s="21" t="str">
        <f>IFERROR(__xludf.DUMMYFUNCTION("XLOOKUP(B419,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""-"")"),"9600295427")</f>
        <v>9600295427</v>
      </c>
      <c r="M419" s="14" t="s">
        <v>240</v>
      </c>
      <c r="N419" s="14" t="s">
        <v>730</v>
      </c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22"/>
      <c r="AA419" s="22"/>
      <c r="AB419" s="22"/>
      <c r="AC419" s="22"/>
      <c r="AD419" s="22"/>
    </row>
    <row r="420">
      <c r="A420" s="21">
        <v>419.0</v>
      </c>
      <c r="B420" s="32" t="s">
        <v>721</v>
      </c>
      <c r="C420" s="16" t="str">
        <f>IFERROR(__xludf.DUMMYFUNCTION("XLOOKUP(B420,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""-"")"),"KISHANTH RANGASAMY MOHANASUNDARAM")</f>
        <v>KISHANTH RANGASAMY MOHANASUNDARAM</v>
      </c>
      <c r="D420" s="17" t="str">
        <f>IFERROR(__xludf.DUMMYFUNCTION("XLOOKUP(B420,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20" s="51" t="s">
        <v>135</v>
      </c>
      <c r="F420" s="14">
        <v>6.0</v>
      </c>
      <c r="G420" s="14" t="s">
        <v>59</v>
      </c>
      <c r="H420" s="14" t="s">
        <v>60</v>
      </c>
      <c r="I420" s="14" t="s">
        <v>62</v>
      </c>
      <c r="J420" s="14" t="s">
        <v>63</v>
      </c>
      <c r="K420" s="17" t="str">
        <f>IFERROR(__xludf.DUMMYFUNCTION("XLOOKUP(B420,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""-"")"),"kishanth.mz23@bitsathy.ac.in")</f>
        <v>kishanth.mz23@bitsathy.ac.in</v>
      </c>
      <c r="L420" s="21" t="str">
        <f>IFERROR(__xludf.DUMMYFUNCTION("XLOOKUP(B420,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""-"")"),"9489751957")</f>
        <v>9489751957</v>
      </c>
      <c r="M420" s="14" t="s">
        <v>71</v>
      </c>
      <c r="N420" s="14" t="s">
        <v>731</v>
      </c>
      <c r="O420" s="14" t="s">
        <v>732</v>
      </c>
      <c r="P420" s="34"/>
      <c r="Q420" s="34"/>
      <c r="R420" s="34"/>
      <c r="S420" s="34"/>
      <c r="T420" s="34"/>
      <c r="U420" s="34"/>
      <c r="V420" s="34"/>
      <c r="W420" s="34"/>
      <c r="X420" s="35" t="s">
        <v>733</v>
      </c>
      <c r="Y420" s="34"/>
      <c r="Z420" s="22"/>
      <c r="AA420" s="22"/>
      <c r="AB420" s="22"/>
      <c r="AC420" s="22"/>
      <c r="AD420" s="22"/>
    </row>
    <row r="421">
      <c r="A421" s="21">
        <v>420.0</v>
      </c>
      <c r="B421" s="32" t="s">
        <v>628</v>
      </c>
      <c r="C421" s="16" t="str">
        <f>IFERROR(__xludf.DUMMYFUNCTION("XLOOKUP(B421,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""-"")"),"DIBAGAR S")</f>
        <v>DIBAGAR S</v>
      </c>
      <c r="D421" s="17" t="str">
        <f>IFERROR(__xludf.DUMMYFUNCTION("XLOOKUP(B421,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21" s="51" t="s">
        <v>135</v>
      </c>
      <c r="F421" s="14">
        <v>6.0</v>
      </c>
      <c r="G421" s="14" t="s">
        <v>59</v>
      </c>
      <c r="H421" s="14" t="s">
        <v>60</v>
      </c>
      <c r="I421" s="14" t="s">
        <v>62</v>
      </c>
      <c r="J421" s="14" t="s">
        <v>63</v>
      </c>
      <c r="K421" s="17" t="str">
        <f>IFERROR(__xludf.DUMMYFUNCTION("XLOOKUP(B421,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""-"")"),"dibagar.ec23@bitsathy.ac.in")</f>
        <v>dibagar.ec23@bitsathy.ac.in</v>
      </c>
      <c r="L421" s="21" t="str">
        <f>IFERROR(__xludf.DUMMYFUNCTION("XLOOKUP(B421,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""-"")"),"6381792066")</f>
        <v>6381792066</v>
      </c>
      <c r="M421" s="14" t="s">
        <v>71</v>
      </c>
      <c r="N421" s="14" t="s">
        <v>731</v>
      </c>
      <c r="O421" s="14" t="s">
        <v>732</v>
      </c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22"/>
      <c r="AA421" s="22"/>
      <c r="AB421" s="22"/>
      <c r="AC421" s="22"/>
      <c r="AD421" s="22"/>
    </row>
    <row r="422">
      <c r="A422" s="21">
        <v>421.0</v>
      </c>
      <c r="B422" s="32" t="s">
        <v>734</v>
      </c>
      <c r="C422" s="16" t="str">
        <f>IFERROR(__xludf.DUMMYFUNCTION("XLOOKUP(B422,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""-"")"),"MOHANA KRISHNA K J")</f>
        <v>MOHANA KRISHNA K J</v>
      </c>
      <c r="D422" s="17" t="str">
        <f>IFERROR(__xludf.DUMMYFUNCTION("XLOOKUP(B422,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422" s="51" t="s">
        <v>135</v>
      </c>
      <c r="F422" s="14">
        <v>6.0</v>
      </c>
      <c r="G422" s="14" t="s">
        <v>59</v>
      </c>
      <c r="H422" s="14" t="s">
        <v>60</v>
      </c>
      <c r="I422" s="14" t="s">
        <v>62</v>
      </c>
      <c r="J422" s="14" t="s">
        <v>63</v>
      </c>
      <c r="K422" s="17" t="str">
        <f>IFERROR(__xludf.DUMMYFUNCTION("XLOOKUP(B422,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""-"")"),"mohanakrishna.ct23@bitsathy.ac.in")</f>
        <v>mohanakrishna.ct23@bitsathy.ac.in</v>
      </c>
      <c r="L422" s="21" t="str">
        <f>IFERROR(__xludf.DUMMYFUNCTION("XLOOKUP(B422,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""-"")"),"9360839549")</f>
        <v>9360839549</v>
      </c>
      <c r="M422" s="14" t="s">
        <v>71</v>
      </c>
      <c r="N422" s="14" t="s">
        <v>731</v>
      </c>
      <c r="O422" s="14" t="s">
        <v>732</v>
      </c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22"/>
      <c r="AA422" s="22"/>
      <c r="AB422" s="22"/>
      <c r="AC422" s="22"/>
      <c r="AD422" s="22"/>
    </row>
    <row r="423">
      <c r="A423" s="21">
        <v>422.0</v>
      </c>
      <c r="B423" s="32" t="s">
        <v>664</v>
      </c>
      <c r="C423" s="16" t="str">
        <f>IFERROR(__xludf.DUMMYFUNCTION("XLOOKUP(B423,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""-"")"),"SELVAPRAVEEN S")</f>
        <v>SELVAPRAVEEN S</v>
      </c>
      <c r="D423" s="17" t="str">
        <f>IFERROR(__xludf.DUMMYFUNCTION("XLOOKUP(B423,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23" s="51" t="s">
        <v>135</v>
      </c>
      <c r="F423" s="14">
        <v>6.0</v>
      </c>
      <c r="G423" s="14" t="s">
        <v>59</v>
      </c>
      <c r="H423" s="14" t="s">
        <v>60</v>
      </c>
      <c r="I423" s="14" t="s">
        <v>62</v>
      </c>
      <c r="J423" s="14" t="s">
        <v>63</v>
      </c>
      <c r="K423" s="17" t="str">
        <f>IFERROR(__xludf.DUMMYFUNCTION("XLOOKUP(B423,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""-"")"),"selvapraveen.cs23@bitsathy.ac.in")</f>
        <v>selvapraveen.cs23@bitsathy.ac.in</v>
      </c>
      <c r="L423" s="21" t="str">
        <f>IFERROR(__xludf.DUMMYFUNCTION("XLOOKUP(B423,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""-"")"),"9025174530")</f>
        <v>9025174530</v>
      </c>
      <c r="M423" s="14" t="s">
        <v>71</v>
      </c>
      <c r="N423" s="14" t="s">
        <v>731</v>
      </c>
      <c r="O423" s="14" t="s">
        <v>732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22"/>
      <c r="AA423" s="22"/>
      <c r="AB423" s="22"/>
      <c r="AC423" s="22"/>
      <c r="AD423" s="22"/>
    </row>
    <row r="424">
      <c r="A424" s="21">
        <v>423.0</v>
      </c>
      <c r="B424" s="32" t="s">
        <v>644</v>
      </c>
      <c r="C424" s="16" t="str">
        <f>IFERROR(__xludf.DUMMYFUNCTION("XLOOKUP(B424,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""-"")"),"NADISH  N")</f>
        <v>NADISH  N</v>
      </c>
      <c r="D424" s="17" t="str">
        <f>IFERROR(__xludf.DUMMYFUNCTION("XLOOKUP(B424,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24" s="51" t="s">
        <v>135</v>
      </c>
      <c r="F424" s="14">
        <v>6.0</v>
      </c>
      <c r="G424" s="14" t="s">
        <v>59</v>
      </c>
      <c r="H424" s="14" t="s">
        <v>60</v>
      </c>
      <c r="I424" s="14" t="s">
        <v>62</v>
      </c>
      <c r="J424" s="14" t="s">
        <v>63</v>
      </c>
      <c r="K424" s="17" t="str">
        <f>IFERROR(__xludf.DUMMYFUNCTION("XLOOKUP(B424,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""-"")"),"nadish.it23@bitsathy.ac.in")</f>
        <v>nadish.it23@bitsathy.ac.in</v>
      </c>
      <c r="L424" s="21" t="str">
        <f>IFERROR(__xludf.DUMMYFUNCTION("XLOOKUP(B424,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""-"")"),"9080894916")</f>
        <v>9080894916</v>
      </c>
      <c r="M424" s="14" t="s">
        <v>71</v>
      </c>
      <c r="N424" s="14" t="s">
        <v>731</v>
      </c>
      <c r="O424" s="14" t="s">
        <v>732</v>
      </c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22"/>
      <c r="AA424" s="22"/>
      <c r="AB424" s="22"/>
      <c r="AC424" s="22"/>
      <c r="AD424" s="22"/>
    </row>
    <row r="425">
      <c r="A425" s="21">
        <v>424.0</v>
      </c>
      <c r="B425" s="32" t="s">
        <v>735</v>
      </c>
      <c r="C425" s="16" t="str">
        <f>IFERROR(__xludf.DUMMYFUNCTION("XLOOKUP(B425,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""-"")"),"PRASANTH P")</f>
        <v>PRASANTH P</v>
      </c>
      <c r="D425" s="17" t="str">
        <f>IFERROR(__xludf.DUMMYFUNCTION("XLOOKUP(B425,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25" s="51" t="s">
        <v>135</v>
      </c>
      <c r="F425" s="14">
        <v>6.0</v>
      </c>
      <c r="G425" s="14" t="s">
        <v>59</v>
      </c>
      <c r="H425" s="14" t="s">
        <v>60</v>
      </c>
      <c r="I425" s="14" t="s">
        <v>62</v>
      </c>
      <c r="J425" s="14" t="s">
        <v>63</v>
      </c>
      <c r="K425" s="17" t="str">
        <f>IFERROR(__xludf.DUMMYFUNCTION("XLOOKUP(B425,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""-"")"),"prasanth.it23@bitsathy.ac.in")</f>
        <v>prasanth.it23@bitsathy.ac.in</v>
      </c>
      <c r="L425" s="21" t="str">
        <f>IFERROR(__xludf.DUMMYFUNCTION("XLOOKUP(B425,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""-"")"),"6374126216")</f>
        <v>6374126216</v>
      </c>
      <c r="M425" s="14" t="s">
        <v>71</v>
      </c>
      <c r="N425" s="14" t="s">
        <v>731</v>
      </c>
      <c r="O425" s="14" t="s">
        <v>732</v>
      </c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22"/>
      <c r="AA425" s="22"/>
      <c r="AB425" s="22"/>
      <c r="AC425" s="22"/>
      <c r="AD425" s="22"/>
    </row>
    <row r="426">
      <c r="A426" s="21">
        <v>425.0</v>
      </c>
      <c r="B426" s="32" t="s">
        <v>424</v>
      </c>
      <c r="C426" s="16" t="str">
        <f>IFERROR(__xludf.DUMMYFUNCTION("XLOOKUP(B426,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""-"")"),"ASHWIN G")</f>
        <v>ASHWIN G</v>
      </c>
      <c r="D426" s="17" t="str">
        <f>IFERROR(__xludf.DUMMYFUNCTION("XLOOKUP(B426,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426" s="51" t="s">
        <v>203</v>
      </c>
      <c r="F426" s="14">
        <v>3.08</v>
      </c>
      <c r="G426" s="14" t="s">
        <v>59</v>
      </c>
      <c r="H426" s="14"/>
      <c r="I426" s="14" t="s">
        <v>136</v>
      </c>
      <c r="J426" s="14" t="s">
        <v>63</v>
      </c>
      <c r="K426" s="17" t="str">
        <f>IFERROR(__xludf.DUMMYFUNCTION("XLOOKUP(B426,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""-"")"),"ashwin.ft23@bitsathy.ac.in")</f>
        <v>ashwin.ft23@bitsathy.ac.in</v>
      </c>
      <c r="L426" s="21" t="str">
        <f>IFERROR(__xludf.DUMMYFUNCTION("XLOOKUP(B426,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""-"")"),"9025957517")</f>
        <v>9025957517</v>
      </c>
      <c r="M426" s="14" t="s">
        <v>240</v>
      </c>
      <c r="N426" s="14" t="s">
        <v>731</v>
      </c>
      <c r="O426" s="34"/>
      <c r="P426" s="34"/>
      <c r="Q426" s="34"/>
      <c r="R426" s="34"/>
      <c r="S426" s="34"/>
      <c r="T426" s="34"/>
      <c r="U426" s="34"/>
      <c r="V426" s="34"/>
      <c r="W426" s="34"/>
      <c r="X426" s="35" t="s">
        <v>736</v>
      </c>
      <c r="Y426" s="34"/>
      <c r="Z426" s="22"/>
      <c r="AA426" s="22"/>
      <c r="AB426" s="22"/>
      <c r="AC426" s="22"/>
      <c r="AD426" s="22"/>
    </row>
    <row r="427">
      <c r="A427" s="21">
        <v>426.0</v>
      </c>
      <c r="B427" s="32" t="s">
        <v>737</v>
      </c>
      <c r="C427" s="16" t="str">
        <f>IFERROR(__xludf.DUMMYFUNCTION("XLOOKUP(B427,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""-"")"),"DHIVYAA D")</f>
        <v>DHIVYAA D</v>
      </c>
      <c r="D427" s="17" t="str">
        <f>IFERROR(__xludf.DUMMYFUNCTION("XLOOKUP(B427,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427" s="51" t="s">
        <v>203</v>
      </c>
      <c r="F427" s="14">
        <v>3.08</v>
      </c>
      <c r="G427" s="14" t="s">
        <v>59</v>
      </c>
      <c r="H427" s="14"/>
      <c r="I427" s="14" t="s">
        <v>136</v>
      </c>
      <c r="J427" s="14" t="s">
        <v>63</v>
      </c>
      <c r="K427" s="17" t="str">
        <f>IFERROR(__xludf.DUMMYFUNCTION("XLOOKUP(B427,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""-"")"),"dhivyaa.ft23@bitsathy.ac.in")</f>
        <v>dhivyaa.ft23@bitsathy.ac.in</v>
      </c>
      <c r="L427" s="21" t="str">
        <f>IFERROR(__xludf.DUMMYFUNCTION("XLOOKUP(B427,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""-"")"),"6374185161")</f>
        <v>6374185161</v>
      </c>
      <c r="M427" s="14" t="s">
        <v>240</v>
      </c>
      <c r="N427" s="14" t="s">
        <v>731</v>
      </c>
      <c r="O427" s="34"/>
      <c r="P427" s="34"/>
      <c r="Q427" s="34"/>
      <c r="R427" s="34"/>
      <c r="S427" s="34"/>
      <c r="T427" s="34"/>
      <c r="U427" s="34"/>
      <c r="V427" s="34"/>
      <c r="W427" s="34"/>
      <c r="X427" s="35" t="s">
        <v>738</v>
      </c>
      <c r="Y427" s="34"/>
      <c r="Z427" s="22"/>
      <c r="AA427" s="22"/>
      <c r="AB427" s="22"/>
      <c r="AC427" s="22"/>
      <c r="AD427" s="22"/>
    </row>
    <row r="428">
      <c r="A428" s="21">
        <v>427.0</v>
      </c>
      <c r="B428" s="32" t="s">
        <v>739</v>
      </c>
      <c r="C428" s="16" t="str">
        <f>IFERROR(__xludf.DUMMYFUNCTION("XLOOKUP(B428,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""-"")"),"HEMA PRIYA  R")</f>
        <v>HEMA PRIYA  R</v>
      </c>
      <c r="D428" s="17" t="str">
        <f>IFERROR(__xludf.DUMMYFUNCTION("XLOOKUP(B428,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428" s="51" t="s">
        <v>203</v>
      </c>
      <c r="F428" s="14">
        <v>3.08</v>
      </c>
      <c r="G428" s="14" t="s">
        <v>59</v>
      </c>
      <c r="H428" s="14"/>
      <c r="I428" s="14" t="s">
        <v>136</v>
      </c>
      <c r="J428" s="14" t="s">
        <v>63</v>
      </c>
      <c r="K428" s="17" t="str">
        <f>IFERROR(__xludf.DUMMYFUNCTION("XLOOKUP(B428,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""-"")"),"hemapriya.ft23@bitsathy.ac.in")</f>
        <v>hemapriya.ft23@bitsathy.ac.in</v>
      </c>
      <c r="L428" s="21" t="str">
        <f>IFERROR(__xludf.DUMMYFUNCTION("XLOOKUP(B428,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""-"")"),"8838199880")</f>
        <v>8838199880</v>
      </c>
      <c r="M428" s="14" t="s">
        <v>240</v>
      </c>
      <c r="N428" s="14" t="s">
        <v>731</v>
      </c>
      <c r="O428" s="34"/>
      <c r="P428" s="34"/>
      <c r="Q428" s="34"/>
      <c r="R428" s="34"/>
      <c r="S428" s="34"/>
      <c r="T428" s="34"/>
      <c r="U428" s="34"/>
      <c r="V428" s="34"/>
      <c r="W428" s="34"/>
      <c r="X428" s="35" t="s">
        <v>740</v>
      </c>
      <c r="Y428" s="34"/>
      <c r="Z428" s="22"/>
      <c r="AA428" s="22"/>
      <c r="AB428" s="22"/>
      <c r="AC428" s="22"/>
      <c r="AD428" s="22"/>
    </row>
    <row r="429">
      <c r="A429" s="21">
        <v>428.0</v>
      </c>
      <c r="B429" s="32" t="s">
        <v>741</v>
      </c>
      <c r="C429" s="16" t="str">
        <f>IFERROR(__xludf.DUMMYFUNCTION("XLOOKUP(B429,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""-"")"),"SANDHIYA G")</f>
        <v>SANDHIYA G</v>
      </c>
      <c r="D429" s="17" t="str">
        <f>IFERROR(__xludf.DUMMYFUNCTION("XLOOKUP(B429,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429" s="51" t="s">
        <v>203</v>
      </c>
      <c r="F429" s="14">
        <v>3.08</v>
      </c>
      <c r="G429" s="14" t="s">
        <v>59</v>
      </c>
      <c r="H429" s="14"/>
      <c r="I429" s="14" t="s">
        <v>136</v>
      </c>
      <c r="J429" s="14" t="s">
        <v>63</v>
      </c>
      <c r="K429" s="17" t="str">
        <f>IFERROR(__xludf.DUMMYFUNCTION("XLOOKUP(B429,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""-"")"),"sandhiya.ft23@bitsathy.ac.in")</f>
        <v>sandhiya.ft23@bitsathy.ac.in</v>
      </c>
      <c r="L429" s="21" t="str">
        <f>IFERROR(__xludf.DUMMYFUNCTION("XLOOKUP(B429,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""-"")"),"9384431276")</f>
        <v>9384431276</v>
      </c>
      <c r="M429" s="14" t="s">
        <v>240</v>
      </c>
      <c r="N429" s="14" t="s">
        <v>731</v>
      </c>
      <c r="O429" s="34"/>
      <c r="P429" s="34"/>
      <c r="Q429" s="34"/>
      <c r="R429" s="34"/>
      <c r="S429" s="34"/>
      <c r="T429" s="34"/>
      <c r="U429" s="34"/>
      <c r="V429" s="34"/>
      <c r="W429" s="34"/>
      <c r="X429" s="35" t="s">
        <v>742</v>
      </c>
      <c r="Y429" s="34"/>
      <c r="Z429" s="22"/>
      <c r="AA429" s="22"/>
      <c r="AB429" s="22"/>
      <c r="AC429" s="22"/>
      <c r="AD429" s="22"/>
    </row>
    <row r="430">
      <c r="A430" s="21">
        <v>429.0</v>
      </c>
      <c r="B430" s="32" t="s">
        <v>743</v>
      </c>
      <c r="C430" s="16" t="str">
        <f>IFERROR(__xludf.DUMMYFUNCTION("XLOOKUP(B430,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""-"")"),"TAMILARASI  P")</f>
        <v>TAMILARASI  P</v>
      </c>
      <c r="D430" s="17" t="str">
        <f>IFERROR(__xludf.DUMMYFUNCTION("XLOOKUP(B430,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430" s="51" t="s">
        <v>203</v>
      </c>
      <c r="F430" s="14">
        <v>3.08</v>
      </c>
      <c r="G430" s="14" t="s">
        <v>59</v>
      </c>
      <c r="H430" s="14"/>
      <c r="I430" s="14" t="s">
        <v>136</v>
      </c>
      <c r="J430" s="14" t="s">
        <v>63</v>
      </c>
      <c r="K430" s="17" t="str">
        <f>IFERROR(__xludf.DUMMYFUNCTION("XLOOKUP(B430,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""-"")"),"tamilarasi.ft23@bitsathy.ac.in")</f>
        <v>tamilarasi.ft23@bitsathy.ac.in</v>
      </c>
      <c r="L430" s="21" t="str">
        <f>IFERROR(__xludf.DUMMYFUNCTION("XLOOKUP(B430,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""-"")"),"9080131903")</f>
        <v>9080131903</v>
      </c>
      <c r="M430" s="14" t="s">
        <v>240</v>
      </c>
      <c r="N430" s="14" t="s">
        <v>731</v>
      </c>
      <c r="O430" s="34"/>
      <c r="P430" s="34"/>
      <c r="Q430" s="34"/>
      <c r="R430" s="34"/>
      <c r="S430" s="34"/>
      <c r="T430" s="34"/>
      <c r="U430" s="34"/>
      <c r="V430" s="34"/>
      <c r="W430" s="34"/>
      <c r="X430" s="35" t="s">
        <v>744</v>
      </c>
      <c r="Y430" s="34"/>
      <c r="Z430" s="22"/>
      <c r="AA430" s="22"/>
      <c r="AB430" s="22"/>
      <c r="AC430" s="22"/>
      <c r="AD430" s="22"/>
    </row>
    <row r="431">
      <c r="A431" s="21">
        <v>430.0</v>
      </c>
      <c r="B431" s="32" t="s">
        <v>745</v>
      </c>
      <c r="C431" s="16" t="str">
        <f>IFERROR(__xludf.DUMMYFUNCTION("XLOOKUP(B431,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""-"")"),"ANUVARSHINI K S")</f>
        <v>ANUVARSHINI K S</v>
      </c>
      <c r="D431" s="17" t="str">
        <f>IFERROR(__xludf.DUMMYFUNCTION("XLOOKUP(B431,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431" s="51" t="s">
        <v>188</v>
      </c>
      <c r="F431" s="14">
        <v>3.5</v>
      </c>
      <c r="G431" s="14" t="s">
        <v>59</v>
      </c>
      <c r="H431" s="14"/>
      <c r="I431" s="14" t="s">
        <v>62</v>
      </c>
      <c r="J431" s="14" t="s">
        <v>63</v>
      </c>
      <c r="K431" s="17" t="str">
        <f>IFERROR(__xludf.DUMMYFUNCTION("XLOOKUP(B431,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""-"")"),"anuvarshini.ct23@bitsathy.ac.in")</f>
        <v>anuvarshini.ct23@bitsathy.ac.in</v>
      </c>
      <c r="L431" s="21" t="str">
        <f>IFERROR(__xludf.DUMMYFUNCTION("XLOOKUP(B431,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""-"")"),"7339555397")</f>
        <v>7339555397</v>
      </c>
      <c r="M431" s="14" t="s">
        <v>420</v>
      </c>
      <c r="N431" s="14" t="s">
        <v>746</v>
      </c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22"/>
      <c r="AA431" s="22"/>
      <c r="AB431" s="22"/>
      <c r="AC431" s="22"/>
      <c r="AD431" s="22"/>
    </row>
    <row r="432">
      <c r="A432" s="21">
        <v>431.0</v>
      </c>
      <c r="B432" s="32" t="s">
        <v>747</v>
      </c>
      <c r="C432" s="16" t="str">
        <f>IFERROR(__xludf.DUMMYFUNCTION("XLOOKUP(B432,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""-"")"),"SHARVESH S RAMCHANDANI")</f>
        <v>SHARVESH S RAMCHANDANI</v>
      </c>
      <c r="D432" s="17" t="str">
        <f>IFERROR(__xludf.DUMMYFUNCTION("XLOOKUP(B432,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432" s="51" t="s">
        <v>205</v>
      </c>
      <c r="F432" s="14">
        <v>3.6</v>
      </c>
      <c r="G432" s="14" t="s">
        <v>252</v>
      </c>
      <c r="H432" s="14"/>
      <c r="I432" s="14" t="s">
        <v>62</v>
      </c>
      <c r="J432" s="14" t="s">
        <v>266</v>
      </c>
      <c r="K432" s="17" t="str">
        <f>IFERROR(__xludf.DUMMYFUNCTION("XLOOKUP(B432,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""-"")"),"sharvesh.cd23@bitsathy.ac.in")</f>
        <v>sharvesh.cd23@bitsathy.ac.in</v>
      </c>
      <c r="L432" s="21" t="str">
        <f>IFERROR(__xludf.DUMMYFUNCTION("XLOOKUP(B432,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""-"")"),"7305282230")</f>
        <v>7305282230</v>
      </c>
      <c r="M432" s="14" t="s">
        <v>71</v>
      </c>
      <c r="N432" s="14" t="s">
        <v>748</v>
      </c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22"/>
      <c r="AA432" s="22"/>
      <c r="AB432" s="22"/>
      <c r="AC432" s="22"/>
      <c r="AD432" s="22"/>
    </row>
    <row r="433">
      <c r="A433" s="21">
        <v>432.0</v>
      </c>
      <c r="B433" s="32" t="s">
        <v>749</v>
      </c>
      <c r="C433" s="16" t="str">
        <f>IFERROR(__xludf.DUMMYFUNCTION("XLOOKUP(B433,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""-"")"),"TRIDEV BALAJI R")</f>
        <v>TRIDEV BALAJI R</v>
      </c>
      <c r="D433" s="17" t="str">
        <f>IFERROR(__xludf.DUMMYFUNCTION("XLOOKUP(B433,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33" s="51" t="s">
        <v>205</v>
      </c>
      <c r="F433" s="14">
        <v>3.6</v>
      </c>
      <c r="G433" s="14" t="s">
        <v>252</v>
      </c>
      <c r="H433" s="14"/>
      <c r="I433" s="14" t="s">
        <v>62</v>
      </c>
      <c r="J433" s="14" t="s">
        <v>99</v>
      </c>
      <c r="K433" s="17" t="str">
        <f>IFERROR(__xludf.DUMMYFUNCTION("XLOOKUP(B433,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""-"")"),"tridevbalaji.cs23@bitsathy.ac.in")</f>
        <v>tridevbalaji.cs23@bitsathy.ac.in</v>
      </c>
      <c r="L433" s="21" t="str">
        <f>IFERROR(__xludf.DUMMYFUNCTION("XLOOKUP(B433,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""-"")"),"6379269278")</f>
        <v>6379269278</v>
      </c>
      <c r="M433" s="14" t="s">
        <v>71</v>
      </c>
      <c r="N433" s="14" t="s">
        <v>748</v>
      </c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22"/>
      <c r="AA433" s="22"/>
      <c r="AB433" s="22"/>
      <c r="AC433" s="22"/>
      <c r="AD433" s="22"/>
    </row>
    <row r="434">
      <c r="A434" s="21">
        <v>433.0</v>
      </c>
      <c r="B434" s="32" t="s">
        <v>750</v>
      </c>
      <c r="C434" s="16" t="str">
        <f>IFERROR(__xludf.DUMMYFUNCTION("XLOOKUP(B434,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""-"")"),"DINESHKUMAR N")</f>
        <v>DINESHKUMAR N</v>
      </c>
      <c r="D434" s="17" t="str">
        <f>IFERROR(__xludf.DUMMYFUNCTION("XLOOKUP(B434,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34" s="33" t="s">
        <v>191</v>
      </c>
      <c r="F434" s="14">
        <v>3.0</v>
      </c>
      <c r="G434" s="14" t="s">
        <v>59</v>
      </c>
      <c r="H434" s="14"/>
      <c r="I434" s="14" t="s">
        <v>136</v>
      </c>
      <c r="J434" s="14" t="s">
        <v>63</v>
      </c>
      <c r="K434" s="17" t="str">
        <f>IFERROR(__xludf.DUMMYFUNCTION("XLOOKUP(B434,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""-"")"),"dineshkumar.me23@bitsathy.ac.in")</f>
        <v>dineshkumar.me23@bitsathy.ac.in</v>
      </c>
      <c r="L434" s="21" t="str">
        <f>IFERROR(__xludf.DUMMYFUNCTION("XLOOKUP(B434,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""-"")"),"9344224095")</f>
        <v>9344224095</v>
      </c>
      <c r="M434" s="14" t="s">
        <v>71</v>
      </c>
      <c r="N434" s="14" t="s">
        <v>748</v>
      </c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22"/>
      <c r="AA434" s="22"/>
      <c r="AB434" s="22"/>
      <c r="AC434" s="22"/>
      <c r="AD434" s="22"/>
    </row>
    <row r="435">
      <c r="A435" s="21">
        <v>434.0</v>
      </c>
      <c r="B435" s="32" t="s">
        <v>751</v>
      </c>
      <c r="C435" s="16" t="str">
        <f>IFERROR(__xludf.DUMMYFUNCTION("XLOOKUP(B435,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""-"")"),"RAGUL A S")</f>
        <v>RAGUL A S</v>
      </c>
      <c r="D435" s="17" t="str">
        <f>IFERROR(__xludf.DUMMYFUNCTION("XLOOKUP(B435,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435" s="33" t="s">
        <v>140</v>
      </c>
      <c r="F435" s="14">
        <v>3.0</v>
      </c>
      <c r="G435" s="14" t="s">
        <v>59</v>
      </c>
      <c r="H435" s="14"/>
      <c r="I435" s="14" t="s">
        <v>136</v>
      </c>
      <c r="J435" s="14" t="s">
        <v>63</v>
      </c>
      <c r="K435" s="17" t="str">
        <f>IFERROR(__xludf.DUMMYFUNCTION("XLOOKUP(B435,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""-"")"),"ragul.fd23@bitsathy.ac.in")</f>
        <v>ragul.fd23@bitsathy.ac.in</v>
      </c>
      <c r="L435" s="21" t="str">
        <f>IFERROR(__xludf.DUMMYFUNCTION("XLOOKUP(B435,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""-"")"),"9629134344")</f>
        <v>9629134344</v>
      </c>
      <c r="M435" s="14" t="s">
        <v>240</v>
      </c>
      <c r="N435" s="14" t="s">
        <v>752</v>
      </c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22"/>
      <c r="AA435" s="22"/>
      <c r="AB435" s="22"/>
      <c r="AC435" s="22"/>
      <c r="AD435" s="22"/>
    </row>
    <row r="436">
      <c r="A436" s="21">
        <v>435.0</v>
      </c>
      <c r="B436" s="32" t="s">
        <v>367</v>
      </c>
      <c r="C436" s="16" t="str">
        <f>IFERROR(__xludf.DUMMYFUNCTION("XLOOKUP(B436,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""-"")"),"NIKILESHKUMAR S")</f>
        <v>NIKILESHKUMAR S</v>
      </c>
      <c r="D436" s="17" t="str">
        <f>IFERROR(__xludf.DUMMYFUNCTION("XLOOKUP(B436,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436" s="33" t="s">
        <v>102</v>
      </c>
      <c r="F436" s="14">
        <v>3.0</v>
      </c>
      <c r="G436" s="14" t="s">
        <v>59</v>
      </c>
      <c r="H436" s="14" t="s">
        <v>60</v>
      </c>
      <c r="I436" s="14" t="s">
        <v>136</v>
      </c>
      <c r="J436" s="14" t="s">
        <v>63</v>
      </c>
      <c r="K436" s="17" t="str">
        <f>IFERROR(__xludf.DUMMYFUNCTION("XLOOKUP(B436,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""-"")"),"nikileshkumar.ee23@bitsathy.ac.in")</f>
        <v>nikileshkumar.ee23@bitsathy.ac.in</v>
      </c>
      <c r="L436" s="21" t="str">
        <f>IFERROR(__xludf.DUMMYFUNCTION("XLOOKUP(B436,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""-"")"),"9994706869")</f>
        <v>9994706869</v>
      </c>
      <c r="M436" s="14" t="s">
        <v>71</v>
      </c>
      <c r="N436" s="14" t="s">
        <v>752</v>
      </c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22"/>
      <c r="AA436" s="22"/>
      <c r="AB436" s="22"/>
      <c r="AC436" s="22"/>
      <c r="AD436" s="22"/>
    </row>
    <row r="437">
      <c r="A437" s="21">
        <v>436.0</v>
      </c>
      <c r="B437" s="32" t="s">
        <v>753</v>
      </c>
      <c r="C437" s="16" t="str">
        <f>IFERROR(__xludf.DUMMYFUNCTION("XLOOKUP(B437,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""-"")"),"DHIVA R")</f>
        <v>DHIVA R</v>
      </c>
      <c r="D437" s="17" t="str">
        <f>IFERROR(__xludf.DUMMYFUNCTION("XLOOKUP(B437,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437" s="33" t="s">
        <v>102</v>
      </c>
      <c r="F437" s="14">
        <v>3.0</v>
      </c>
      <c r="G437" s="14" t="s">
        <v>59</v>
      </c>
      <c r="H437" s="14" t="s">
        <v>60</v>
      </c>
      <c r="I437" s="14" t="s">
        <v>136</v>
      </c>
      <c r="J437" s="14" t="s">
        <v>63</v>
      </c>
      <c r="K437" s="17" t="str">
        <f>IFERROR(__xludf.DUMMYFUNCTION("XLOOKUP(B437,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""-"")"),"dhivar.ee23@bitsathy.ac.in")</f>
        <v>dhivar.ee23@bitsathy.ac.in</v>
      </c>
      <c r="L437" s="21" t="str">
        <f>IFERROR(__xludf.DUMMYFUNCTION("XLOOKUP(B437,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""-"")"),"8778551289")</f>
        <v>8778551289</v>
      </c>
      <c r="M437" s="14" t="s">
        <v>71</v>
      </c>
      <c r="N437" s="14" t="s">
        <v>752</v>
      </c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22"/>
      <c r="AA437" s="22"/>
      <c r="AB437" s="22"/>
      <c r="AC437" s="22"/>
      <c r="AD437" s="22"/>
    </row>
    <row r="438">
      <c r="A438" s="21">
        <v>437.0</v>
      </c>
      <c r="B438" s="32" t="s">
        <v>517</v>
      </c>
      <c r="C438" s="16" t="str">
        <f>IFERROR(__xludf.DUMMYFUNCTION("XLOOKUP(B438,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""-"")"),"SOBIKA S M")</f>
        <v>SOBIKA S M</v>
      </c>
      <c r="D438" s="17" t="str">
        <f>IFERROR(__xludf.DUMMYFUNCTION("XLOOKUP(B438,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38" s="33" t="s">
        <v>117</v>
      </c>
      <c r="F438" s="14">
        <v>17.0</v>
      </c>
      <c r="G438" s="14" t="s">
        <v>59</v>
      </c>
      <c r="H438" s="14"/>
      <c r="I438" s="14" t="s">
        <v>62</v>
      </c>
      <c r="J438" s="14" t="s">
        <v>63</v>
      </c>
      <c r="K438" s="17" t="str">
        <f>IFERROR(__xludf.DUMMYFUNCTION("XLOOKUP(B438,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""-"")"),"sobika.cs23@bitsathy.ac.in")</f>
        <v>sobika.cs23@bitsathy.ac.in</v>
      </c>
      <c r="L438" s="21" t="str">
        <f>IFERROR(__xludf.DUMMYFUNCTION("XLOOKUP(B438,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""-"")"),"9751515795")</f>
        <v>9751515795</v>
      </c>
      <c r="M438" s="14" t="s">
        <v>71</v>
      </c>
      <c r="N438" s="14" t="s">
        <v>754</v>
      </c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22"/>
      <c r="AA438" s="22"/>
      <c r="AB438" s="22"/>
      <c r="AC438" s="22"/>
      <c r="AD438" s="22"/>
    </row>
    <row r="439">
      <c r="A439" s="21">
        <v>438.0</v>
      </c>
      <c r="B439" s="52" t="s">
        <v>755</v>
      </c>
      <c r="C439" s="16" t="str">
        <f>IFERROR(__xludf.DUMMYFUNCTION("XLOOKUP(B439,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""-"")"),"MOULEESWARAN P")</f>
        <v>MOULEESWARAN P</v>
      </c>
      <c r="D439" s="17" t="str">
        <f>IFERROR(__xludf.DUMMYFUNCTION("XLOOKUP(B439,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39" s="33" t="s">
        <v>118</v>
      </c>
      <c r="F439" s="14">
        <v>8.0</v>
      </c>
      <c r="G439" s="14" t="s">
        <v>59</v>
      </c>
      <c r="H439" s="14"/>
      <c r="I439" s="14" t="s">
        <v>62</v>
      </c>
      <c r="J439" s="14" t="s">
        <v>63</v>
      </c>
      <c r="K439" s="17" t="str">
        <f>IFERROR(__xludf.DUMMYFUNCTION("XLOOKUP(B439,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""-"")"),"mouleeswaran.cs23@bitsathy.ac.in")</f>
        <v>mouleeswaran.cs23@bitsathy.ac.in</v>
      </c>
      <c r="L439" s="21" t="str">
        <f>IFERROR(__xludf.DUMMYFUNCTION("XLOOKUP(B439,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""-"")"),"6380090174")</f>
        <v>6380090174</v>
      </c>
      <c r="M439" s="14" t="s">
        <v>71</v>
      </c>
      <c r="N439" s="14" t="s">
        <v>732</v>
      </c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22"/>
      <c r="AA439" s="22"/>
      <c r="AB439" s="22"/>
      <c r="AC439" s="22"/>
      <c r="AD439" s="22"/>
    </row>
    <row r="440">
      <c r="A440" s="21">
        <v>439.0</v>
      </c>
      <c r="B440" s="52" t="s">
        <v>651</v>
      </c>
      <c r="C440" s="16" t="str">
        <f>IFERROR(__xludf.DUMMYFUNCTION("XLOOKUP(B440,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""-"")"),"HARSHAN T")</f>
        <v>HARSHAN T</v>
      </c>
      <c r="D440" s="17" t="str">
        <f>IFERROR(__xludf.DUMMYFUNCTION("XLOOKUP(B440,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440" s="33" t="s">
        <v>135</v>
      </c>
      <c r="F440" s="14">
        <v>6.0</v>
      </c>
      <c r="G440" s="14" t="s">
        <v>59</v>
      </c>
      <c r="H440" s="14"/>
      <c r="I440" s="14" t="s">
        <v>62</v>
      </c>
      <c r="J440" s="14" t="s">
        <v>63</v>
      </c>
      <c r="K440" s="17" t="str">
        <f>IFERROR(__xludf.DUMMYFUNCTION("XLOOKUP(B440,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""-"")"),"harshan.ad23@bitsathy.ac.in")</f>
        <v>harshan.ad23@bitsathy.ac.in</v>
      </c>
      <c r="L440" s="21" t="str">
        <f>IFERROR(__xludf.DUMMYFUNCTION("XLOOKUP(B440,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""-"")"),"8778257295")</f>
        <v>8778257295</v>
      </c>
      <c r="M440" s="14" t="s">
        <v>71</v>
      </c>
      <c r="N440" s="14" t="s">
        <v>756</v>
      </c>
      <c r="O440" s="14" t="s">
        <v>757</v>
      </c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22"/>
      <c r="AA440" s="22"/>
      <c r="AB440" s="22"/>
      <c r="AC440" s="22"/>
      <c r="AD440" s="22"/>
    </row>
    <row r="441">
      <c r="A441" s="21">
        <v>440.0</v>
      </c>
      <c r="B441" s="52" t="s">
        <v>581</v>
      </c>
      <c r="C441" s="16" t="str">
        <f>IFERROR(__xludf.DUMMYFUNCTION("XLOOKUP(B441,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""-"")"),"SURESH KANNAN R V")</f>
        <v>SURESH KANNAN R V</v>
      </c>
      <c r="D441" s="17" t="str">
        <f>IFERROR(__xludf.DUMMYFUNCTION("XLOOKUP(B441,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41" s="33" t="s">
        <v>135</v>
      </c>
      <c r="F441" s="14">
        <v>6.0</v>
      </c>
      <c r="G441" s="14" t="s">
        <v>59</v>
      </c>
      <c r="H441" s="14"/>
      <c r="I441" s="14" t="s">
        <v>62</v>
      </c>
      <c r="J441" s="14" t="s">
        <v>63</v>
      </c>
      <c r="K441" s="17" t="str">
        <f>IFERROR(__xludf.DUMMYFUNCTION("XLOOKUP(B441,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""-"")"),"sureshkannan.cs23@bitsathy.ac.in")</f>
        <v>sureshkannan.cs23@bitsathy.ac.in</v>
      </c>
      <c r="L441" s="21" t="str">
        <f>IFERROR(__xludf.DUMMYFUNCTION("XLOOKUP(B441,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""-"")"),"9025763629")</f>
        <v>9025763629</v>
      </c>
      <c r="M441" s="14" t="s">
        <v>71</v>
      </c>
      <c r="N441" s="14" t="s">
        <v>756</v>
      </c>
      <c r="O441" s="14" t="s">
        <v>757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22"/>
      <c r="AA441" s="22"/>
      <c r="AB441" s="22"/>
      <c r="AC441" s="22"/>
      <c r="AD441" s="22"/>
    </row>
    <row r="442">
      <c r="A442" s="21">
        <v>441.0</v>
      </c>
      <c r="B442" s="53" t="s">
        <v>758</v>
      </c>
      <c r="C442" s="16" t="str">
        <f>IFERROR(__xludf.DUMMYFUNCTION("XLOOKUP(B442,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""-"")"),"MEROSAN P")</f>
        <v>MEROSAN P</v>
      </c>
      <c r="D442" s="17" t="str">
        <f>IFERROR(__xludf.DUMMYFUNCTION("XLOOKUP(B442,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442" s="33" t="s">
        <v>135</v>
      </c>
      <c r="F442" s="14">
        <v>6.0</v>
      </c>
      <c r="G442" s="14" t="s">
        <v>59</v>
      </c>
      <c r="H442" s="14"/>
      <c r="I442" s="14" t="s">
        <v>62</v>
      </c>
      <c r="J442" s="14" t="s">
        <v>63</v>
      </c>
      <c r="K442" s="17" t="str">
        <f>IFERROR(__xludf.DUMMYFUNCTION("XLOOKUP(B442,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""-"")"),"merosan.se23@bitsathy.ac.in")</f>
        <v>merosan.se23@bitsathy.ac.in</v>
      </c>
      <c r="L442" s="21" t="str">
        <f>IFERROR(__xludf.DUMMYFUNCTION("XLOOKUP(B442,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""-"")"),"7825955712")</f>
        <v>7825955712</v>
      </c>
      <c r="M442" s="14" t="s">
        <v>71</v>
      </c>
      <c r="N442" s="14" t="s">
        <v>756</v>
      </c>
      <c r="O442" s="14" t="s">
        <v>757</v>
      </c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22"/>
      <c r="AA442" s="22"/>
      <c r="AB442" s="22"/>
      <c r="AC442" s="22"/>
      <c r="AD442" s="22"/>
    </row>
    <row r="443">
      <c r="A443" s="21">
        <v>442.0</v>
      </c>
      <c r="B443" s="32" t="s">
        <v>759</v>
      </c>
      <c r="C443" s="16" t="str">
        <f>IFERROR(__xludf.DUMMYFUNCTION("XLOOKUP(B443,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""-"")"),"SABAREESAN K C")</f>
        <v>SABAREESAN K C</v>
      </c>
      <c r="D443" s="17" t="str">
        <f>IFERROR(__xludf.DUMMYFUNCTION("XLOOKUP(B443,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443" s="33" t="s">
        <v>156</v>
      </c>
      <c r="F443" s="14">
        <v>4.0</v>
      </c>
      <c r="G443" s="14" t="s">
        <v>59</v>
      </c>
      <c r="H443" s="14"/>
      <c r="I443" s="14" t="s">
        <v>136</v>
      </c>
      <c r="J443" s="14" t="s">
        <v>63</v>
      </c>
      <c r="K443" s="17" t="str">
        <f>IFERROR(__xludf.DUMMYFUNCTION("XLOOKUP(B443,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""-"")"),"sabareesan.al23@bitsathy.ac.in")</f>
        <v>sabareesan.al23@bitsathy.ac.in</v>
      </c>
      <c r="L443" s="21" t="str">
        <f>IFERROR(__xludf.DUMMYFUNCTION("XLOOKUP(B443,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""-"")"),"7200602978")</f>
        <v>7200602978</v>
      </c>
      <c r="M443" s="14" t="s">
        <v>240</v>
      </c>
      <c r="N443" s="14" t="s">
        <v>760</v>
      </c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22"/>
      <c r="AA443" s="22"/>
      <c r="AB443" s="22"/>
      <c r="AC443" s="22"/>
      <c r="AD443" s="22"/>
    </row>
    <row r="444">
      <c r="A444" s="21">
        <v>443.0</v>
      </c>
      <c r="B444" s="32" t="s">
        <v>761</v>
      </c>
      <c r="C444" s="16" t="str">
        <f>IFERROR(__xludf.DUMMYFUNCTION("XLOOKUP(B444,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""-"")"),"PRINCIA I")</f>
        <v>PRINCIA I</v>
      </c>
      <c r="D444" s="17" t="str">
        <f>IFERROR(__xludf.DUMMYFUNCTION("XLOOKUP(B444,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44" s="33" t="s">
        <v>156</v>
      </c>
      <c r="F444" s="14">
        <v>3.6</v>
      </c>
      <c r="G444" s="14" t="s">
        <v>59</v>
      </c>
      <c r="H444" s="14"/>
      <c r="I444" s="14" t="s">
        <v>136</v>
      </c>
      <c r="J444" s="14" t="s">
        <v>63</v>
      </c>
      <c r="K444" s="17" t="str">
        <f>IFERROR(__xludf.DUMMYFUNCTION("XLOOKUP(B444,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""-"")"),"princia.mz23@bitsathy.ac.in")</f>
        <v>princia.mz23@bitsathy.ac.in</v>
      </c>
      <c r="L444" s="21" t="str">
        <f>IFERROR(__xludf.DUMMYFUNCTION("XLOOKUP(B444,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""-"")"),"7904532056")</f>
        <v>7904532056</v>
      </c>
      <c r="M444" s="14" t="s">
        <v>240</v>
      </c>
      <c r="N444" s="14" t="s">
        <v>760</v>
      </c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22"/>
      <c r="AA444" s="22"/>
      <c r="AB444" s="22"/>
      <c r="AC444" s="22"/>
      <c r="AD444" s="22"/>
    </row>
    <row r="445">
      <c r="A445" s="21">
        <v>444.0</v>
      </c>
      <c r="B445" s="32" t="s">
        <v>762</v>
      </c>
      <c r="C445" s="16" t="str">
        <f>IFERROR(__xludf.DUMMYFUNCTION("XLOOKUP(B445,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 KARTHICK P")</f>
        <v>KAVIN KARTHICK P</v>
      </c>
      <c r="D445" s="17" t="str">
        <f>IFERROR(__xludf.DUMMYFUNCTION("XLOOKUP(B445,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45" s="33" t="s">
        <v>156</v>
      </c>
      <c r="F445" s="14">
        <v>4.0</v>
      </c>
      <c r="G445" s="14" t="s">
        <v>59</v>
      </c>
      <c r="H445" s="14"/>
      <c r="I445" s="14" t="s">
        <v>136</v>
      </c>
      <c r="J445" s="14" t="s">
        <v>63</v>
      </c>
      <c r="K445" s="17" t="str">
        <f>IFERROR(__xludf.DUMMYFUNCTION("XLOOKUP(B445,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""-"")"),"kavinkarthick.cs23@bitsathy.ac.in")</f>
        <v>kavinkarthick.cs23@bitsathy.ac.in</v>
      </c>
      <c r="L445" s="21" t="str">
        <f>IFERROR(__xludf.DUMMYFUNCTION("XLOOKUP(B445,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""-"")"),"8807253798")</f>
        <v>8807253798</v>
      </c>
      <c r="M445" s="14" t="s">
        <v>240</v>
      </c>
      <c r="N445" s="14" t="s">
        <v>760</v>
      </c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22"/>
      <c r="AA445" s="22"/>
      <c r="AB445" s="22"/>
      <c r="AC445" s="22"/>
      <c r="AD445" s="22"/>
    </row>
    <row r="446">
      <c r="A446" s="21">
        <v>445.0</v>
      </c>
      <c r="B446" s="32" t="s">
        <v>763</v>
      </c>
      <c r="C446" s="16" t="str">
        <f>IFERROR(__xludf.DUMMYFUNCTION("XLOOKUP(B446,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""-"")"),"NAVEN K S")</f>
        <v>NAVEN K S</v>
      </c>
      <c r="D446" s="17" t="str">
        <f>IFERROR(__xludf.DUMMYFUNCTION("XLOOKUP(B446,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46" s="33" t="s">
        <v>156</v>
      </c>
      <c r="F446" s="14">
        <v>4.0</v>
      </c>
      <c r="G446" s="14" t="s">
        <v>59</v>
      </c>
      <c r="H446" s="14"/>
      <c r="I446" s="14" t="s">
        <v>136</v>
      </c>
      <c r="J446" s="14" t="s">
        <v>63</v>
      </c>
      <c r="K446" s="17" t="str">
        <f>IFERROR(__xludf.DUMMYFUNCTION("XLOOKUP(B446,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""-"")"),"naven.mz23@bitsathy.ac.in")</f>
        <v>naven.mz23@bitsathy.ac.in</v>
      </c>
      <c r="L446" s="21" t="str">
        <f>IFERROR(__xludf.DUMMYFUNCTION("XLOOKUP(B446,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""-"")"),"8122859410")</f>
        <v>8122859410</v>
      </c>
      <c r="M446" s="14" t="s">
        <v>240</v>
      </c>
      <c r="N446" s="14" t="s">
        <v>760</v>
      </c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22"/>
      <c r="AA446" s="22"/>
      <c r="AB446" s="22"/>
      <c r="AC446" s="22"/>
      <c r="AD446" s="22"/>
    </row>
    <row r="447">
      <c r="A447" s="21">
        <v>446.0</v>
      </c>
      <c r="B447" s="32" t="s">
        <v>723</v>
      </c>
      <c r="C447" s="16" t="str">
        <f>IFERROR(__xludf.DUMMYFUNCTION("XLOOKUP(B447,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""-"")"),"SHANKAR NIDHISH P")</f>
        <v>SHANKAR NIDHISH P</v>
      </c>
      <c r="D447" s="17" t="str">
        <f>IFERROR(__xludf.DUMMYFUNCTION("XLOOKUP(B447,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47" s="33" t="s">
        <v>156</v>
      </c>
      <c r="F447" s="14">
        <v>4.0</v>
      </c>
      <c r="G447" s="14" t="s">
        <v>59</v>
      </c>
      <c r="H447" s="14"/>
      <c r="I447" s="14" t="s">
        <v>136</v>
      </c>
      <c r="J447" s="14" t="s">
        <v>63</v>
      </c>
      <c r="K447" s="17" t="str">
        <f>IFERROR(__xludf.DUMMYFUNCTION("XLOOKUP(B447,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""-"")"),"shankarnidhish.mz23@bitsathy.ac.in")</f>
        <v>shankarnidhish.mz23@bitsathy.ac.in</v>
      </c>
      <c r="L447" s="21" t="str">
        <f>IFERROR(__xludf.DUMMYFUNCTION("XLOOKUP(B447,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""-"")"),"8248446365")</f>
        <v>8248446365</v>
      </c>
      <c r="M447" s="14" t="s">
        <v>240</v>
      </c>
      <c r="N447" s="14" t="s">
        <v>760</v>
      </c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22"/>
      <c r="AA447" s="22"/>
      <c r="AB447" s="22"/>
      <c r="AC447" s="22"/>
      <c r="AD447" s="22"/>
    </row>
    <row r="448">
      <c r="A448" s="21">
        <v>447.0</v>
      </c>
      <c r="B448" s="32" t="s">
        <v>501</v>
      </c>
      <c r="C448" s="16" t="str">
        <f>IFERROR(__xludf.DUMMYFUNCTION("XLOOKUP(B448,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""-"")"),"KAMALI R")</f>
        <v>KAMALI R</v>
      </c>
      <c r="D448" s="17" t="str">
        <f>IFERROR(__xludf.DUMMYFUNCTION("XLOOKUP(B448,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48" s="33" t="s">
        <v>135</v>
      </c>
      <c r="F448" s="14">
        <v>4.8</v>
      </c>
      <c r="G448" s="14" t="s">
        <v>59</v>
      </c>
      <c r="H448" s="14"/>
      <c r="I448" s="14" t="s">
        <v>62</v>
      </c>
      <c r="J448" s="14" t="s">
        <v>99</v>
      </c>
      <c r="K448" s="17" t="str">
        <f>IFERROR(__xludf.DUMMYFUNCTION("XLOOKUP(B448,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""-"")"),"kamali.it23@bitsathy.ac.in")</f>
        <v>kamali.it23@bitsathy.ac.in</v>
      </c>
      <c r="L448" s="21" t="str">
        <f>IFERROR(__xludf.DUMMYFUNCTION("XLOOKUP(B448,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""-"")"),"9150642334")</f>
        <v>9150642334</v>
      </c>
      <c r="M448" s="14" t="s">
        <v>71</v>
      </c>
      <c r="N448" s="14" t="s">
        <v>764</v>
      </c>
      <c r="O448" s="14" t="s">
        <v>765</v>
      </c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22"/>
      <c r="AA448" s="22"/>
      <c r="AB448" s="22"/>
      <c r="AC448" s="22"/>
      <c r="AD448" s="22"/>
    </row>
    <row r="449">
      <c r="A449" s="21">
        <v>448.0</v>
      </c>
      <c r="B449" s="32" t="s">
        <v>691</v>
      </c>
      <c r="C449" s="16" t="str">
        <f>IFERROR(__xludf.DUMMYFUNCTION("XLOOKUP(B449,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""-"")"),"MANOJKUMAR C S")</f>
        <v>MANOJKUMAR C S</v>
      </c>
      <c r="D449" s="17" t="str">
        <f>IFERROR(__xludf.DUMMYFUNCTION("XLOOKUP(B449,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49" s="33" t="s">
        <v>135</v>
      </c>
      <c r="F449" s="14">
        <v>4.8</v>
      </c>
      <c r="G449" s="14" t="s">
        <v>59</v>
      </c>
      <c r="H449" s="14"/>
      <c r="I449" s="14" t="s">
        <v>62</v>
      </c>
      <c r="J449" s="14" t="s">
        <v>99</v>
      </c>
      <c r="K449" s="17" t="str">
        <f>IFERROR(__xludf.DUMMYFUNCTION("XLOOKUP(B449,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""-"")"),"manojkumar.ec23@bitsathy.ac.in")</f>
        <v>manojkumar.ec23@bitsathy.ac.in</v>
      </c>
      <c r="L449" s="21" t="str">
        <f>IFERROR(__xludf.DUMMYFUNCTION("XLOOKUP(B449,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""-"")"),"8124745559")</f>
        <v>8124745559</v>
      </c>
      <c r="M449" s="14" t="s">
        <v>71</v>
      </c>
      <c r="N449" s="14" t="s">
        <v>764</v>
      </c>
      <c r="O449" s="14" t="s">
        <v>765</v>
      </c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22"/>
      <c r="AA449" s="22"/>
      <c r="AB449" s="22"/>
      <c r="AC449" s="22"/>
      <c r="AD449" s="22"/>
    </row>
    <row r="450">
      <c r="A450" s="21">
        <v>449.0</v>
      </c>
      <c r="B450" s="32" t="s">
        <v>766</v>
      </c>
      <c r="C450" s="16" t="str">
        <f>IFERROR(__xludf.DUMMYFUNCTION("XLOOKUP(B450,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 HARAN M")</f>
        <v>HARI HARAN M</v>
      </c>
      <c r="D450" s="17" t="str">
        <f>IFERROR(__xludf.DUMMYFUNCTION("XLOOKUP(B450,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450" s="33" t="s">
        <v>135</v>
      </c>
      <c r="F450" s="14">
        <v>4.8</v>
      </c>
      <c r="G450" s="14" t="s">
        <v>59</v>
      </c>
      <c r="H450" s="14"/>
      <c r="I450" s="14" t="s">
        <v>62</v>
      </c>
      <c r="J450" s="14" t="s">
        <v>99</v>
      </c>
      <c r="K450" s="17" t="str">
        <f>IFERROR(__xludf.DUMMYFUNCTION("XLOOKUP(B450,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""-"")"),"hariharan.cs23@bitsathy.ac.in")</f>
        <v>hariharan.cs23@bitsathy.ac.in</v>
      </c>
      <c r="L450" s="21" t="str">
        <f>IFERROR(__xludf.DUMMYFUNCTION("XLOOKUP(B450,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""-"")"),"8489662225")</f>
        <v>8489662225</v>
      </c>
      <c r="M450" s="14" t="s">
        <v>71</v>
      </c>
      <c r="N450" s="14" t="s">
        <v>764</v>
      </c>
      <c r="O450" s="14" t="s">
        <v>765</v>
      </c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22"/>
      <c r="AA450" s="22"/>
      <c r="AB450" s="22"/>
      <c r="AC450" s="22"/>
      <c r="AD450" s="22"/>
    </row>
    <row r="451">
      <c r="A451" s="21">
        <v>450.0</v>
      </c>
      <c r="B451" s="32" t="s">
        <v>547</v>
      </c>
      <c r="C451" s="16" t="str">
        <f>IFERROR(__xludf.DUMMYFUNCTION("XLOOKUP(B451,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""-"")"),"KARANEESH A")</f>
        <v>KARANEESH A</v>
      </c>
      <c r="D451" s="17" t="str">
        <f>IFERROR(__xludf.DUMMYFUNCTION("XLOOKUP(B451,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451" s="33" t="s">
        <v>135</v>
      </c>
      <c r="F451" s="14">
        <v>4.8</v>
      </c>
      <c r="G451" s="14" t="s">
        <v>59</v>
      </c>
      <c r="H451" s="14"/>
      <c r="I451" s="14" t="s">
        <v>62</v>
      </c>
      <c r="J451" s="14" t="s">
        <v>99</v>
      </c>
      <c r="K451" s="17" t="str">
        <f>IFERROR(__xludf.DUMMYFUNCTION("XLOOKUP(B451,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""-"")"),"karaneesha.ct23@bitsathy.ac.in")</f>
        <v>karaneesha.ct23@bitsathy.ac.in</v>
      </c>
      <c r="L451" s="21" t="str">
        <f>IFERROR(__xludf.DUMMYFUNCTION("XLOOKUP(B451,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""-"")"),"9942778188")</f>
        <v>9942778188</v>
      </c>
      <c r="M451" s="14" t="s">
        <v>71</v>
      </c>
      <c r="N451" s="14" t="s">
        <v>764</v>
      </c>
      <c r="O451" s="14" t="s">
        <v>765</v>
      </c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22"/>
      <c r="AA451" s="22"/>
      <c r="AB451" s="22"/>
      <c r="AC451" s="22"/>
      <c r="AD451" s="22"/>
    </row>
    <row r="452">
      <c r="A452" s="21">
        <v>451.0</v>
      </c>
      <c r="B452" s="32" t="s">
        <v>767</v>
      </c>
      <c r="C452" s="16" t="str">
        <f>IFERROR(__xludf.DUMMYFUNCTION("XLOOKUP(B452,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""-"")"),"ANISH M")</f>
        <v>ANISH M</v>
      </c>
      <c r="D452" s="17" t="str">
        <f>IFERROR(__xludf.DUMMYFUNCTION("XLOOKUP(B452,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452" s="33" t="s">
        <v>169</v>
      </c>
      <c r="F452" s="14">
        <v>4.0</v>
      </c>
      <c r="G452" s="14" t="s">
        <v>59</v>
      </c>
      <c r="H452" s="14" t="s">
        <v>60</v>
      </c>
      <c r="I452" s="14" t="s">
        <v>136</v>
      </c>
      <c r="J452" s="14" t="s">
        <v>63</v>
      </c>
      <c r="K452" s="17" t="str">
        <f>IFERROR(__xludf.DUMMYFUNCTION("XLOOKUP(B452,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""-"")"),"anish.ag23@bitsathy.ac.in")</f>
        <v>anish.ag23@bitsathy.ac.in</v>
      </c>
      <c r="L452" s="21" t="str">
        <f>IFERROR(__xludf.DUMMYFUNCTION("XLOOKUP(B452,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""-"")"),"9944484751")</f>
        <v>9944484751</v>
      </c>
      <c r="M452" s="14" t="s">
        <v>71</v>
      </c>
      <c r="N452" s="14" t="s">
        <v>768</v>
      </c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22"/>
      <c r="AA452" s="22"/>
      <c r="AB452" s="22"/>
      <c r="AC452" s="22"/>
      <c r="AD452" s="22"/>
    </row>
    <row r="453">
      <c r="A453" s="21">
        <v>452.0</v>
      </c>
      <c r="B453" s="32" t="s">
        <v>769</v>
      </c>
      <c r="C453" s="16" t="str">
        <f>IFERROR(__xludf.DUMMYFUNCTION("XLOOKUP(B453,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""-"")"),"VELMURUGAN M L")</f>
        <v>VELMURUGAN M L</v>
      </c>
      <c r="D453" s="17" t="str">
        <f>IFERROR(__xludf.DUMMYFUNCTION("XLOOKUP(B453,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453" s="33" t="s">
        <v>169</v>
      </c>
      <c r="F453" s="14">
        <v>4.0</v>
      </c>
      <c r="G453" s="14" t="s">
        <v>59</v>
      </c>
      <c r="H453" s="14" t="s">
        <v>60</v>
      </c>
      <c r="I453" s="14" t="s">
        <v>136</v>
      </c>
      <c r="J453" s="14" t="s">
        <v>63</v>
      </c>
      <c r="K453" s="17" t="str">
        <f>IFERROR(__xludf.DUMMYFUNCTION("XLOOKUP(B453,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""-"")"),"velmurugan.ag23@bitsathy.ac.in")</f>
        <v>velmurugan.ag23@bitsathy.ac.in</v>
      </c>
      <c r="L453" s="21" t="str">
        <f>IFERROR(__xludf.DUMMYFUNCTION("XLOOKUP(B453,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""-"")"),"6374770515")</f>
        <v>6374770515</v>
      </c>
      <c r="M453" s="14" t="s">
        <v>71</v>
      </c>
      <c r="N453" s="14" t="s">
        <v>768</v>
      </c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22"/>
      <c r="AA453" s="22"/>
      <c r="AB453" s="22"/>
      <c r="AC453" s="22"/>
      <c r="AD453" s="22"/>
    </row>
    <row r="454">
      <c r="A454" s="21">
        <v>453.0</v>
      </c>
      <c r="B454" s="32" t="s">
        <v>770</v>
      </c>
      <c r="C454" s="16" t="str">
        <f>IFERROR(__xludf.DUMMYFUNCTION("XLOOKUP(B454,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""-"")"),"KAMALESHRAJA G")</f>
        <v>KAMALESHRAJA G</v>
      </c>
      <c r="D454" s="17" t="str">
        <f>IFERROR(__xludf.DUMMYFUNCTION("XLOOKUP(B454,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454" s="33" t="s">
        <v>169</v>
      </c>
      <c r="F454" s="14">
        <v>4.0</v>
      </c>
      <c r="G454" s="14" t="s">
        <v>59</v>
      </c>
      <c r="H454" s="14" t="s">
        <v>60</v>
      </c>
      <c r="I454" s="14" t="s">
        <v>136</v>
      </c>
      <c r="J454" s="14" t="s">
        <v>63</v>
      </c>
      <c r="K454" s="17" t="str">
        <f>IFERROR(__xludf.DUMMYFUNCTION("XLOOKUP(B454,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""-"")"),"kamaleshraja.ag23@bitsathy.ac.in")</f>
        <v>kamaleshraja.ag23@bitsathy.ac.in</v>
      </c>
      <c r="L454" s="21" t="str">
        <f>IFERROR(__xludf.DUMMYFUNCTION("XLOOKUP(B454,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""-"")"),"8610452253")</f>
        <v>8610452253</v>
      </c>
      <c r="M454" s="14" t="s">
        <v>71</v>
      </c>
      <c r="N454" s="14" t="s">
        <v>768</v>
      </c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22"/>
      <c r="AA454" s="22"/>
      <c r="AB454" s="22"/>
      <c r="AC454" s="22"/>
      <c r="AD454" s="22"/>
    </row>
    <row r="455">
      <c r="A455" s="21">
        <v>454.0</v>
      </c>
      <c r="B455" s="32" t="s">
        <v>771</v>
      </c>
      <c r="C455" s="16" t="str">
        <f>IFERROR(__xludf.DUMMYFUNCTION("XLOOKUP(B455,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""-"")"),"LOHIT M")</f>
        <v>LOHIT M</v>
      </c>
      <c r="D455" s="17" t="str">
        <f>IFERROR(__xludf.DUMMYFUNCTION("XLOOKUP(B455,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455" s="33" t="s">
        <v>169</v>
      </c>
      <c r="F455" s="14">
        <v>4.0</v>
      </c>
      <c r="G455" s="14" t="s">
        <v>59</v>
      </c>
      <c r="H455" s="14" t="s">
        <v>60</v>
      </c>
      <c r="I455" s="14" t="s">
        <v>136</v>
      </c>
      <c r="J455" s="14" t="s">
        <v>63</v>
      </c>
      <c r="K455" s="17" t="str">
        <f>IFERROR(__xludf.DUMMYFUNCTION("XLOOKUP(B455,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""-"")"),"lohit.ag23@bitsathy.ac.in")</f>
        <v>lohit.ag23@bitsathy.ac.in</v>
      </c>
      <c r="L455" s="21" t="str">
        <f>IFERROR(__xludf.DUMMYFUNCTION("XLOOKUP(B455,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""-"")"),"6374818127")</f>
        <v>6374818127</v>
      </c>
      <c r="M455" s="14" t="s">
        <v>71</v>
      </c>
      <c r="N455" s="14" t="s">
        <v>768</v>
      </c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22"/>
      <c r="AA455" s="22"/>
      <c r="AB455" s="22"/>
      <c r="AC455" s="22"/>
      <c r="AD455" s="22"/>
    </row>
    <row r="456">
      <c r="A456" s="21">
        <v>455.0</v>
      </c>
      <c r="B456" s="32" t="s">
        <v>772</v>
      </c>
      <c r="C456" s="16" t="str">
        <f>IFERROR(__xludf.DUMMYFUNCTION("XLOOKUP(B456,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""-"")"),"THIRUMOORTHY K")</f>
        <v>THIRUMOORTHY K</v>
      </c>
      <c r="D456" s="17" t="str">
        <f>IFERROR(__xludf.DUMMYFUNCTION("XLOOKUP(B456,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""-"")"),"AGRICULTURE ENGINEERING")</f>
        <v>AGRICULTURE ENGINEERING</v>
      </c>
      <c r="E456" s="33" t="s">
        <v>169</v>
      </c>
      <c r="F456" s="14">
        <v>4.0</v>
      </c>
      <c r="G456" s="14" t="s">
        <v>59</v>
      </c>
      <c r="H456" s="14" t="s">
        <v>60</v>
      </c>
      <c r="I456" s="14" t="s">
        <v>136</v>
      </c>
      <c r="J456" s="14" t="s">
        <v>63</v>
      </c>
      <c r="K456" s="17" t="str">
        <f>IFERROR(__xludf.DUMMYFUNCTION("XLOOKUP(B456,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""-"")"),"thirumoorthyk.ag23@bitsathy.ac.in")</f>
        <v>thirumoorthyk.ag23@bitsathy.ac.in</v>
      </c>
      <c r="L456" s="21" t="str">
        <f>IFERROR(__xludf.DUMMYFUNCTION("XLOOKUP(B456,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""-"")"),"9361392045")</f>
        <v>9361392045</v>
      </c>
      <c r="M456" s="14" t="s">
        <v>71</v>
      </c>
      <c r="N456" s="14" t="s">
        <v>768</v>
      </c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22"/>
      <c r="AA456" s="22"/>
      <c r="AB456" s="22"/>
      <c r="AC456" s="22"/>
      <c r="AD456" s="22"/>
    </row>
    <row r="457">
      <c r="A457" s="21">
        <v>456.0</v>
      </c>
      <c r="B457" s="32" t="s">
        <v>639</v>
      </c>
      <c r="C457" s="16" t="str">
        <f>IFERROR(__xludf.DUMMYFUNCTION("XLOOKUP(B457,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""-"")"),"HEMASRI M")</f>
        <v>HEMASRI M</v>
      </c>
      <c r="D457" s="17" t="str">
        <f>IFERROR(__xludf.DUMMYFUNCTION("XLOOKUP(B457,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457" s="33" t="s">
        <v>155</v>
      </c>
      <c r="F457" s="14">
        <v>14.6</v>
      </c>
      <c r="G457" s="14" t="s">
        <v>252</v>
      </c>
      <c r="H457" s="14"/>
      <c r="I457" s="14" t="s">
        <v>136</v>
      </c>
      <c r="J457" s="14" t="s">
        <v>266</v>
      </c>
      <c r="K457" s="17" t="str">
        <f>IFERROR(__xludf.DUMMYFUNCTION("XLOOKUP(B457,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""-"")"),"hemasri.it23@bitsathy.ac.in")</f>
        <v>hemasri.it23@bitsathy.ac.in</v>
      </c>
      <c r="L457" s="21" t="str">
        <f>IFERROR(__xludf.DUMMYFUNCTION("XLOOKUP(B457,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""-"")"),"9952275342")</f>
        <v>9952275342</v>
      </c>
      <c r="M457" s="14" t="s">
        <v>71</v>
      </c>
      <c r="N457" s="14" t="s">
        <v>768</v>
      </c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22"/>
      <c r="AA457" s="22"/>
      <c r="AB457" s="22"/>
      <c r="AC457" s="22"/>
      <c r="AD457" s="22"/>
    </row>
    <row r="458">
      <c r="A458" s="21">
        <v>457.0</v>
      </c>
      <c r="B458" s="32" t="s">
        <v>773</v>
      </c>
      <c r="C458" s="16" t="str">
        <f>IFERROR(__xludf.DUMMYFUNCTION("XLOOKUP(B458,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""-"")"),"VISHNU N")</f>
        <v>VISHNU N</v>
      </c>
      <c r="D458" s="17" t="str">
        <f>IFERROR(__xludf.DUMMYFUNCTION("XLOOKUP(B458,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58" s="33" t="s">
        <v>168</v>
      </c>
      <c r="F458" s="14">
        <v>3.0</v>
      </c>
      <c r="G458" s="14" t="s">
        <v>252</v>
      </c>
      <c r="H458" s="14"/>
      <c r="I458" s="14" t="s">
        <v>136</v>
      </c>
      <c r="J458" s="14" t="s">
        <v>63</v>
      </c>
      <c r="K458" s="17" t="str">
        <f>IFERROR(__xludf.DUMMYFUNCTION("XLOOKUP(B458,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""-"")"),"vishnu.ec23@bitsathy.ac.in")</f>
        <v>vishnu.ec23@bitsathy.ac.in</v>
      </c>
      <c r="L458" s="21" t="str">
        <f>IFERROR(__xludf.DUMMYFUNCTION("XLOOKUP(B458,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""-"")"),"9442650444")</f>
        <v>9442650444</v>
      </c>
      <c r="M458" s="14" t="s">
        <v>240</v>
      </c>
      <c r="N458" s="14" t="s">
        <v>768</v>
      </c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22"/>
      <c r="AA458" s="22"/>
      <c r="AB458" s="22"/>
      <c r="AC458" s="22"/>
      <c r="AD458" s="22"/>
    </row>
    <row r="459">
      <c r="A459" s="21">
        <v>458.0</v>
      </c>
      <c r="B459" s="32" t="s">
        <v>774</v>
      </c>
      <c r="C459" s="16" t="str">
        <f>IFERROR(__xludf.DUMMYFUNCTION("XLOOKUP(B459,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 V")</f>
        <v>NAVEEN V</v>
      </c>
      <c r="D459" s="17" t="str">
        <f>IFERROR(__xludf.DUMMYFUNCTION("XLOOKUP(B459,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59" s="33" t="s">
        <v>168</v>
      </c>
      <c r="F459" s="14">
        <v>3.0</v>
      </c>
      <c r="G459" s="14" t="s">
        <v>252</v>
      </c>
      <c r="H459" s="14"/>
      <c r="I459" s="14" t="s">
        <v>136</v>
      </c>
      <c r="J459" s="14" t="s">
        <v>63</v>
      </c>
      <c r="K459" s="17" t="str">
        <f>IFERROR(__xludf.DUMMYFUNCTION("XLOOKUP(B459,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""-"")"),"naveenv.ec23@bitsathy.ac.in")</f>
        <v>naveenv.ec23@bitsathy.ac.in</v>
      </c>
      <c r="L459" s="21" t="str">
        <f>IFERROR(__xludf.DUMMYFUNCTION("XLOOKUP(B459,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""-"")"),"9003634197")</f>
        <v>9003634197</v>
      </c>
      <c r="M459" s="14" t="s">
        <v>240</v>
      </c>
      <c r="N459" s="14" t="s">
        <v>768</v>
      </c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22"/>
      <c r="AA459" s="22"/>
      <c r="AB459" s="22"/>
      <c r="AC459" s="22"/>
      <c r="AD459" s="22"/>
    </row>
    <row r="460">
      <c r="A460" s="21">
        <v>459.0</v>
      </c>
      <c r="B460" s="32" t="s">
        <v>775</v>
      </c>
      <c r="C460" s="16" t="str">
        <f>IFERROR(__xludf.DUMMYFUNCTION("XLOOKUP(B460,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""-"")"),"NITHIN C")</f>
        <v>NITHIN C</v>
      </c>
      <c r="D460" s="17" t="str">
        <f>IFERROR(__xludf.DUMMYFUNCTION("XLOOKUP(B460,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60" s="33" t="s">
        <v>168</v>
      </c>
      <c r="F460" s="14">
        <v>3.0</v>
      </c>
      <c r="G460" s="14" t="s">
        <v>252</v>
      </c>
      <c r="H460" s="14"/>
      <c r="I460" s="14" t="s">
        <v>136</v>
      </c>
      <c r="J460" s="14" t="s">
        <v>63</v>
      </c>
      <c r="K460" s="17" t="str">
        <f>IFERROR(__xludf.DUMMYFUNCTION("XLOOKUP(B460,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""-"")"),"nithinc.ec23@bitsathy.ac.in")</f>
        <v>nithinc.ec23@bitsathy.ac.in</v>
      </c>
      <c r="L460" s="21" t="str">
        <f>IFERROR(__xludf.DUMMYFUNCTION("XLOOKUP(B460,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""-"")"),"9080230469")</f>
        <v>9080230469</v>
      </c>
      <c r="M460" s="14" t="s">
        <v>240</v>
      </c>
      <c r="N460" s="14" t="s">
        <v>768</v>
      </c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22"/>
      <c r="AA460" s="22"/>
      <c r="AB460" s="22"/>
      <c r="AC460" s="22"/>
      <c r="AD460" s="22"/>
    </row>
    <row r="461">
      <c r="A461" s="21">
        <v>460.0</v>
      </c>
      <c r="B461" s="32" t="s">
        <v>776</v>
      </c>
      <c r="C461" s="16" t="str">
        <f>IFERROR(__xludf.DUMMYFUNCTION("XLOOKUP(B461,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""-"")"),"VRLRAINA E")</f>
        <v>VRLRAINA E</v>
      </c>
      <c r="D461" s="17" t="str">
        <f>IFERROR(__xludf.DUMMYFUNCTION("XLOOKUP(B461,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61" s="33" t="s">
        <v>168</v>
      </c>
      <c r="F461" s="14">
        <v>3.0</v>
      </c>
      <c r="G461" s="14" t="s">
        <v>252</v>
      </c>
      <c r="H461" s="14"/>
      <c r="I461" s="14" t="s">
        <v>136</v>
      </c>
      <c r="J461" s="14" t="s">
        <v>63</v>
      </c>
      <c r="K461" s="17" t="str">
        <f>IFERROR(__xludf.DUMMYFUNCTION("XLOOKUP(B461,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""-"")"),"vrlrainaelumalaie.ec23@bitsathy.ac.in")</f>
        <v>vrlrainaelumalaie.ec23@bitsathy.ac.in</v>
      </c>
      <c r="L461" s="21" t="str">
        <f>IFERROR(__xludf.DUMMYFUNCTION("XLOOKUP(B461,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""-"")"),"9047889657")</f>
        <v>9047889657</v>
      </c>
      <c r="M461" s="14" t="s">
        <v>240</v>
      </c>
      <c r="N461" s="14" t="s">
        <v>768</v>
      </c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22"/>
      <c r="AA461" s="22"/>
      <c r="AB461" s="22"/>
      <c r="AC461" s="22"/>
      <c r="AD461" s="22"/>
    </row>
    <row r="462">
      <c r="A462" s="21">
        <v>461.0</v>
      </c>
      <c r="B462" s="32" t="s">
        <v>777</v>
      </c>
      <c r="C462" s="16" t="str">
        <f>IFERROR(__xludf.DUMMYFUNCTION("XLOOKUP(B462,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BALAJI  S")</f>
        <v>SRI BALAJI  S</v>
      </c>
      <c r="D462" s="17" t="str">
        <f>IFERROR(__xludf.DUMMYFUNCTION("XLOOKUP(B462,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462" s="33" t="s">
        <v>168</v>
      </c>
      <c r="F462" s="14">
        <v>3.0</v>
      </c>
      <c r="G462" s="14" t="s">
        <v>252</v>
      </c>
      <c r="H462" s="14"/>
      <c r="I462" s="14" t="s">
        <v>136</v>
      </c>
      <c r="J462" s="14" t="s">
        <v>99</v>
      </c>
      <c r="K462" s="17" t="str">
        <f>IFERROR(__xludf.DUMMYFUNCTION("XLOOKUP(B462,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""-"")"),"sribalaji.ee23@bitsathy.ac.in")</f>
        <v>sribalaji.ee23@bitsathy.ac.in</v>
      </c>
      <c r="L462" s="21" t="str">
        <f>IFERROR(__xludf.DUMMYFUNCTION("XLOOKUP(B462,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""-"")"),"9715966662")</f>
        <v>9715966662</v>
      </c>
      <c r="M462" s="14" t="s">
        <v>240</v>
      </c>
      <c r="N462" s="14" t="s">
        <v>768</v>
      </c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22"/>
      <c r="AA462" s="22"/>
      <c r="AB462" s="22"/>
      <c r="AC462" s="22"/>
      <c r="AD462" s="22"/>
    </row>
    <row r="463">
      <c r="A463" s="21">
        <v>462.0</v>
      </c>
      <c r="B463" s="32" t="s">
        <v>778</v>
      </c>
      <c r="C463" s="16" t="str">
        <f>IFERROR(__xludf.DUMMYFUNCTION("XLOOKUP(B463,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""-"")"),"GOPI CHARAN N")</f>
        <v>GOPI CHARAN N</v>
      </c>
      <c r="D463" s="17" t="str">
        <f>IFERROR(__xludf.DUMMYFUNCTION("XLOOKUP(B463,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63" s="33" t="s">
        <v>168</v>
      </c>
      <c r="F463" s="14">
        <v>3.0</v>
      </c>
      <c r="G463" s="14" t="s">
        <v>252</v>
      </c>
      <c r="H463" s="14"/>
      <c r="I463" s="14" t="s">
        <v>136</v>
      </c>
      <c r="J463" s="14" t="s">
        <v>63</v>
      </c>
      <c r="K463" s="17" t="str">
        <f>IFERROR(__xludf.DUMMYFUNCTION("XLOOKUP(B463,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""-"")"),"gopicharann.ec23@bitsathy.ac.in")</f>
        <v>gopicharann.ec23@bitsathy.ac.in</v>
      </c>
      <c r="L463" s="21" t="str">
        <f>IFERROR(__xludf.DUMMYFUNCTION("XLOOKUP(B463,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""-"")"),"8940130003")</f>
        <v>8940130003</v>
      </c>
      <c r="M463" s="14" t="s">
        <v>240</v>
      </c>
      <c r="N463" s="14" t="s">
        <v>768</v>
      </c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22"/>
      <c r="AA463" s="22"/>
      <c r="AB463" s="22"/>
      <c r="AC463" s="22"/>
      <c r="AD463" s="22"/>
    </row>
    <row r="464">
      <c r="A464" s="21">
        <v>463.0</v>
      </c>
      <c r="B464" s="32" t="s">
        <v>779</v>
      </c>
      <c r="C464" s="16" t="str">
        <f>IFERROR(__xludf.DUMMYFUNCTION("XLOOKUP(B464,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""-"")"),"GIRIRAJ A")</f>
        <v>GIRIRAJ A</v>
      </c>
      <c r="D464" s="17" t="str">
        <f>IFERROR(__xludf.DUMMYFUNCTION("XLOOKUP(B464,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464" s="33" t="s">
        <v>168</v>
      </c>
      <c r="F464" s="14">
        <v>3.0</v>
      </c>
      <c r="G464" s="14" t="s">
        <v>252</v>
      </c>
      <c r="H464" s="14"/>
      <c r="I464" s="14" t="s">
        <v>136</v>
      </c>
      <c r="J464" s="14" t="s">
        <v>63</v>
      </c>
      <c r="K464" s="17" t="str">
        <f>IFERROR(__xludf.DUMMYFUNCTION("XLOOKUP(B464,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""-"")"),"giriraja.ec23@bitsathy.ac.in")</f>
        <v>giriraja.ec23@bitsathy.ac.in</v>
      </c>
      <c r="L464" s="21" t="str">
        <f>IFERROR(__xludf.DUMMYFUNCTION("XLOOKUP(B464,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""-"")"),"9345344783")</f>
        <v>9345344783</v>
      </c>
      <c r="M464" s="14" t="s">
        <v>240</v>
      </c>
      <c r="N464" s="14" t="s">
        <v>768</v>
      </c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22"/>
      <c r="AA464" s="22"/>
      <c r="AB464" s="22"/>
      <c r="AC464" s="22"/>
      <c r="AD464" s="22"/>
    </row>
    <row r="465">
      <c r="A465" s="21">
        <v>464.0</v>
      </c>
      <c r="B465" s="32" t="s">
        <v>780</v>
      </c>
      <c r="C465" s="16" t="str">
        <f>IFERROR(__xludf.DUMMYFUNCTION("XLOOKUP(B465,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""-"")"),"CHARU S")</f>
        <v>CHARU S</v>
      </c>
      <c r="D465" s="17" t="str">
        <f>IFERROR(__xludf.DUMMYFUNCTION("XLOOKUP(B465,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65" s="33" t="s">
        <v>200</v>
      </c>
      <c r="F465" s="14">
        <v>3.5</v>
      </c>
      <c r="G465" s="14" t="s">
        <v>59</v>
      </c>
      <c r="H465" s="14"/>
      <c r="I465" s="14" t="s">
        <v>136</v>
      </c>
      <c r="J465" s="14" t="s">
        <v>63</v>
      </c>
      <c r="K465" s="17" t="str">
        <f>IFERROR(__xludf.DUMMYFUNCTION("XLOOKUP(B465,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""-"")"),"charu.bt23@bitsathy.ac.in")</f>
        <v>charu.bt23@bitsathy.ac.in</v>
      </c>
      <c r="L465" s="21" t="str">
        <f>IFERROR(__xludf.DUMMYFUNCTION("XLOOKUP(B465,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""-"")"),"8940730376")</f>
        <v>8940730376</v>
      </c>
      <c r="M465" s="14" t="s">
        <v>240</v>
      </c>
      <c r="N465" s="14" t="s">
        <v>781</v>
      </c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22"/>
      <c r="AA465" s="22"/>
      <c r="AB465" s="22"/>
      <c r="AC465" s="22"/>
      <c r="AD465" s="22"/>
    </row>
    <row r="466">
      <c r="A466" s="21">
        <v>465.0</v>
      </c>
      <c r="B466" s="32" t="s">
        <v>782</v>
      </c>
      <c r="C466" s="16" t="str">
        <f>IFERROR(__xludf.DUMMYFUNCTION("XLOOKUP(B466,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""-"")"),"SANTHIYA S M")</f>
        <v>SANTHIYA S M</v>
      </c>
      <c r="D466" s="17" t="str">
        <f>IFERROR(__xludf.DUMMYFUNCTION("XLOOKUP(B466,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66" s="33" t="s">
        <v>200</v>
      </c>
      <c r="F466" s="14">
        <v>3.5</v>
      </c>
      <c r="G466" s="14" t="s">
        <v>59</v>
      </c>
      <c r="H466" s="14"/>
      <c r="I466" s="14" t="s">
        <v>136</v>
      </c>
      <c r="J466" s="14" t="s">
        <v>99</v>
      </c>
      <c r="K466" s="17" t="str">
        <f>IFERROR(__xludf.DUMMYFUNCTION("XLOOKUP(B466,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""-"")"),"santhiya.bt23@bitsathy.ac.in")</f>
        <v>santhiya.bt23@bitsathy.ac.in</v>
      </c>
      <c r="L466" s="21" t="str">
        <f>IFERROR(__xludf.DUMMYFUNCTION("XLOOKUP(B466,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""-"")"),"9751550524")</f>
        <v>9751550524</v>
      </c>
      <c r="M466" s="14" t="s">
        <v>240</v>
      </c>
      <c r="N466" s="14" t="s">
        <v>781</v>
      </c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22"/>
      <c r="AA466" s="22"/>
      <c r="AB466" s="22"/>
      <c r="AC466" s="22"/>
      <c r="AD466" s="22"/>
    </row>
    <row r="467">
      <c r="A467" s="21">
        <v>466.0</v>
      </c>
      <c r="B467" s="32" t="s">
        <v>783</v>
      </c>
      <c r="C467" s="16" t="str">
        <f>IFERROR(__xludf.DUMMYFUNCTION("XLOOKUP(B467,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""-"")"),"ABERAMI S")</f>
        <v>ABERAMI S</v>
      </c>
      <c r="D467" s="17" t="str">
        <f>IFERROR(__xludf.DUMMYFUNCTION("XLOOKUP(B467,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67" s="33" t="s">
        <v>200</v>
      </c>
      <c r="F467" s="14">
        <v>3.5</v>
      </c>
      <c r="G467" s="14" t="s">
        <v>59</v>
      </c>
      <c r="H467" s="14"/>
      <c r="I467" s="14" t="s">
        <v>136</v>
      </c>
      <c r="J467" s="14" t="s">
        <v>63</v>
      </c>
      <c r="K467" s="17" t="str">
        <f>IFERROR(__xludf.DUMMYFUNCTION("XLOOKUP(B467,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""-"")"),"aberami.bt23@bitsathy.ac.in")</f>
        <v>aberami.bt23@bitsathy.ac.in</v>
      </c>
      <c r="L467" s="21" t="str">
        <f>IFERROR(__xludf.DUMMYFUNCTION("XLOOKUP(B467,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""-"")"),"6382352720")</f>
        <v>6382352720</v>
      </c>
      <c r="M467" s="14" t="s">
        <v>240</v>
      </c>
      <c r="N467" s="14" t="s">
        <v>781</v>
      </c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22"/>
      <c r="AA467" s="22"/>
      <c r="AB467" s="22"/>
      <c r="AC467" s="22"/>
      <c r="AD467" s="22"/>
    </row>
    <row r="468">
      <c r="A468" s="21">
        <v>467.0</v>
      </c>
      <c r="B468" s="32" t="s">
        <v>784</v>
      </c>
      <c r="C468" s="16" t="str">
        <f>IFERROR(__xludf.DUMMYFUNCTION("XLOOKUP(B468,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""-"")"),"LIMITHA D")</f>
        <v>LIMITHA D</v>
      </c>
      <c r="D468" s="17" t="str">
        <f>IFERROR(__xludf.DUMMYFUNCTION("XLOOKUP(B468,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68" s="33" t="s">
        <v>200</v>
      </c>
      <c r="F468" s="14">
        <v>3.5</v>
      </c>
      <c r="G468" s="14" t="s">
        <v>59</v>
      </c>
      <c r="H468" s="14"/>
      <c r="I468" s="14" t="s">
        <v>136</v>
      </c>
      <c r="J468" s="14" t="s">
        <v>63</v>
      </c>
      <c r="K468" s="17" t="str">
        <f>IFERROR(__xludf.DUMMYFUNCTION("XLOOKUP(B468,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""-"")"),"limitha.bt23@bitsathy.ac.in")</f>
        <v>limitha.bt23@bitsathy.ac.in</v>
      </c>
      <c r="L468" s="21" t="str">
        <f>IFERROR(__xludf.DUMMYFUNCTION("XLOOKUP(B468,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""-"")"),"8610176588")</f>
        <v>8610176588</v>
      </c>
      <c r="M468" s="14" t="s">
        <v>240</v>
      </c>
      <c r="N468" s="14" t="s">
        <v>781</v>
      </c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22"/>
      <c r="AA468" s="22"/>
      <c r="AB468" s="22"/>
      <c r="AC468" s="22"/>
      <c r="AD468" s="22"/>
    </row>
    <row r="469">
      <c r="A469" s="21">
        <v>468.0</v>
      </c>
      <c r="B469" s="32" t="s">
        <v>785</v>
      </c>
      <c r="C469" s="16" t="str">
        <f>IFERROR(__xludf.DUMMYFUNCTION("XLOOKUP(B469,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""-"")"),"SABAREESHWARAN S")</f>
        <v>SABAREESHWARAN S</v>
      </c>
      <c r="D469" s="17" t="str">
        <f>IFERROR(__xludf.DUMMYFUNCTION("XLOOKUP(B469,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69" s="33" t="s">
        <v>200</v>
      </c>
      <c r="F469" s="14">
        <v>3.5</v>
      </c>
      <c r="G469" s="14" t="s">
        <v>59</v>
      </c>
      <c r="H469" s="14"/>
      <c r="I469" s="14" t="s">
        <v>136</v>
      </c>
      <c r="J469" s="14" t="s">
        <v>63</v>
      </c>
      <c r="K469" s="17" t="str">
        <f>IFERROR(__xludf.DUMMYFUNCTION("XLOOKUP(B469,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""-"")"),"sabareeshwaran.bt23@bitsathy.ac.in")</f>
        <v>sabareeshwaran.bt23@bitsathy.ac.in</v>
      </c>
      <c r="L469" s="21" t="str">
        <f>IFERROR(__xludf.DUMMYFUNCTION("XLOOKUP(B469,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""-"")"),"9042039354")</f>
        <v>9042039354</v>
      </c>
      <c r="M469" s="14" t="s">
        <v>240</v>
      </c>
      <c r="N469" s="14" t="s">
        <v>781</v>
      </c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22"/>
      <c r="AA469" s="22"/>
      <c r="AB469" s="22"/>
      <c r="AC469" s="22"/>
      <c r="AD469" s="22"/>
    </row>
    <row r="470">
      <c r="A470" s="21">
        <v>469.0</v>
      </c>
      <c r="B470" s="32" t="s">
        <v>786</v>
      </c>
      <c r="C470" s="16" t="str">
        <f>IFERROR(__xludf.DUMMYFUNCTION("XLOOKUP(B470,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""-"")"),"PADMA VISHNU PRIYA U")</f>
        <v>PADMA VISHNU PRIYA U</v>
      </c>
      <c r="D470" s="17" t="str">
        <f>IFERROR(__xludf.DUMMYFUNCTION("XLOOKUP(B470,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0" s="33" t="s">
        <v>200</v>
      </c>
      <c r="F470" s="14">
        <v>3.5</v>
      </c>
      <c r="G470" s="14" t="s">
        <v>59</v>
      </c>
      <c r="H470" s="14"/>
      <c r="I470" s="14" t="s">
        <v>136</v>
      </c>
      <c r="J470" s="14" t="s">
        <v>99</v>
      </c>
      <c r="K470" s="17" t="str">
        <f>IFERROR(__xludf.DUMMYFUNCTION("XLOOKUP(B470,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""-"")"),"padmavishnupriya.bt23@bitsathy.ac.in")</f>
        <v>padmavishnupriya.bt23@bitsathy.ac.in</v>
      </c>
      <c r="L470" s="21" t="str">
        <f>IFERROR(__xludf.DUMMYFUNCTION("XLOOKUP(B470,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""-"")"),"8610102256")</f>
        <v>8610102256</v>
      </c>
      <c r="M470" s="14" t="s">
        <v>240</v>
      </c>
      <c r="N470" s="14" t="s">
        <v>781</v>
      </c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22"/>
      <c r="AA470" s="22"/>
      <c r="AB470" s="22"/>
      <c r="AC470" s="22"/>
      <c r="AD470" s="22"/>
    </row>
    <row r="471">
      <c r="A471" s="17">
        <v>470.0</v>
      </c>
      <c r="B471" s="32" t="s">
        <v>787</v>
      </c>
      <c r="C471" s="16" t="str">
        <f>IFERROR(__xludf.DUMMYFUNCTION("XLOOKUP(B471,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""-"")"),"POOJA SHREE M")</f>
        <v>POOJA SHREE M</v>
      </c>
      <c r="D471" s="17" t="str">
        <f>IFERROR(__xludf.DUMMYFUNCTION("XLOOKUP(B471,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471" s="33" t="s">
        <v>200</v>
      </c>
      <c r="F471" s="14">
        <v>3.5</v>
      </c>
      <c r="G471" s="14" t="s">
        <v>59</v>
      </c>
      <c r="H471" s="14"/>
      <c r="I471" s="14" t="s">
        <v>136</v>
      </c>
      <c r="J471" s="14" t="s">
        <v>63</v>
      </c>
      <c r="K471" s="17" t="str">
        <f>IFERROR(__xludf.DUMMYFUNCTION("XLOOKUP(B471,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""-"")"),"poojashreem.bm23@bitsathy.ac.in")</f>
        <v>poojashreem.bm23@bitsathy.ac.in</v>
      </c>
      <c r="L471" s="21" t="str">
        <f>IFERROR(__xludf.DUMMYFUNCTION("XLOOKUP(B471,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""-"")"),"8122721760")</f>
        <v>8122721760</v>
      </c>
      <c r="M471" s="14" t="s">
        <v>240</v>
      </c>
      <c r="N471" s="14" t="s">
        <v>781</v>
      </c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22"/>
      <c r="AA471" s="22"/>
      <c r="AB471" s="22"/>
      <c r="AC471" s="22"/>
      <c r="AD471" s="22"/>
    </row>
    <row r="472">
      <c r="A472" s="21">
        <v>471.0</v>
      </c>
      <c r="B472" s="32" t="s">
        <v>788</v>
      </c>
      <c r="C472" s="16" t="str">
        <f>IFERROR(__xludf.DUMMYFUNCTION("XLOOKUP(B472,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""-"")"),"SRI BHAGAVATHI R")</f>
        <v>SRI BHAGAVATHI R</v>
      </c>
      <c r="D472" s="17" t="str">
        <f>IFERROR(__xludf.DUMMYFUNCTION("XLOOKUP(B472,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2" s="33" t="s">
        <v>200</v>
      </c>
      <c r="F472" s="14">
        <v>3.5</v>
      </c>
      <c r="G472" s="14" t="s">
        <v>59</v>
      </c>
      <c r="H472" s="14"/>
      <c r="I472" s="14" t="s">
        <v>136</v>
      </c>
      <c r="J472" s="14" t="s">
        <v>63</v>
      </c>
      <c r="K472" s="17" t="str">
        <f>IFERROR(__xludf.DUMMYFUNCTION("XLOOKUP(B472,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""-"")"),"sribhagavathi.bt23@bitsathy.ac.in")</f>
        <v>sribhagavathi.bt23@bitsathy.ac.in</v>
      </c>
      <c r="L472" s="21" t="str">
        <f>IFERROR(__xludf.DUMMYFUNCTION("XLOOKUP(B472,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""-"")"),"7200103079")</f>
        <v>7200103079</v>
      </c>
      <c r="M472" s="14" t="s">
        <v>240</v>
      </c>
      <c r="N472" s="14" t="s">
        <v>781</v>
      </c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22"/>
      <c r="AA472" s="22"/>
      <c r="AB472" s="22"/>
      <c r="AC472" s="22"/>
      <c r="AD472" s="22"/>
    </row>
    <row r="473">
      <c r="A473" s="21">
        <v>472.0</v>
      </c>
      <c r="B473" s="32" t="s">
        <v>789</v>
      </c>
      <c r="C473" s="16" t="str">
        <f>IFERROR(__xludf.DUMMYFUNCTION("XLOOKUP(B473,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""-"")"),"VEDHAVARDHINI NACHIAR S U")</f>
        <v>VEDHAVARDHINI NACHIAR S U</v>
      </c>
      <c r="D473" s="17" t="str">
        <f>IFERROR(__xludf.DUMMYFUNCTION("XLOOKUP(B473,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3" s="33" t="s">
        <v>200</v>
      </c>
      <c r="F473" s="14">
        <v>3.5</v>
      </c>
      <c r="G473" s="14" t="s">
        <v>59</v>
      </c>
      <c r="H473" s="14"/>
      <c r="I473" s="14" t="s">
        <v>136</v>
      </c>
      <c r="J473" s="14" t="s">
        <v>99</v>
      </c>
      <c r="K473" s="17" t="str">
        <f>IFERROR(__xludf.DUMMYFUNCTION("XLOOKUP(B473,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""-"")"),"vedhavardhininachiar.bt23@bitsathy.ac.in")</f>
        <v>vedhavardhininachiar.bt23@bitsathy.ac.in</v>
      </c>
      <c r="L473" s="21" t="str">
        <f>IFERROR(__xludf.DUMMYFUNCTION("XLOOKUP(B473,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""-"")"),"9381009382")</f>
        <v>9381009382</v>
      </c>
      <c r="M473" s="14" t="s">
        <v>240</v>
      </c>
      <c r="N473" s="14" t="s">
        <v>781</v>
      </c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22"/>
      <c r="AA473" s="22"/>
      <c r="AB473" s="22"/>
      <c r="AC473" s="22"/>
      <c r="AD473" s="22"/>
    </row>
    <row r="474">
      <c r="A474" s="21">
        <v>473.0</v>
      </c>
      <c r="B474" s="32" t="s">
        <v>790</v>
      </c>
      <c r="C474" s="16" t="str">
        <f>IFERROR(__xludf.DUMMYFUNCTION("XLOOKUP(B474,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""-"")"),"AKSHYA R")</f>
        <v>AKSHYA R</v>
      </c>
      <c r="D474" s="17" t="str">
        <f>IFERROR(__xludf.DUMMYFUNCTION("XLOOKUP(B474,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4" s="33" t="s">
        <v>200</v>
      </c>
      <c r="F474" s="14">
        <v>3.5</v>
      </c>
      <c r="G474" s="14" t="s">
        <v>59</v>
      </c>
      <c r="H474" s="14"/>
      <c r="I474" s="14" t="s">
        <v>136</v>
      </c>
      <c r="J474" s="14" t="s">
        <v>63</v>
      </c>
      <c r="K474" s="17" t="str">
        <f>IFERROR(__xludf.DUMMYFUNCTION("XLOOKUP(B474,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""-"")"),"akshyar.bt23@bitsathy.ac.in")</f>
        <v>akshyar.bt23@bitsathy.ac.in</v>
      </c>
      <c r="L474" s="21" t="str">
        <f>IFERROR(__xludf.DUMMYFUNCTION("XLOOKUP(B474,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""-"")"),"7010761496")</f>
        <v>7010761496</v>
      </c>
      <c r="M474" s="14" t="s">
        <v>240</v>
      </c>
      <c r="N474" s="14" t="s">
        <v>781</v>
      </c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22"/>
      <c r="AA474" s="22"/>
      <c r="AB474" s="22"/>
      <c r="AC474" s="22"/>
      <c r="AD474" s="22"/>
    </row>
    <row r="475">
      <c r="A475" s="21">
        <v>474.0</v>
      </c>
      <c r="B475" s="32" t="s">
        <v>791</v>
      </c>
      <c r="C475" s="16" t="str">
        <f>IFERROR(__xludf.DUMMYFUNCTION("XLOOKUP(B475,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""-"")"),"VELMURUGAN S R")</f>
        <v>VELMURUGAN S R</v>
      </c>
      <c r="D475" s="17" t="str">
        <f>IFERROR(__xludf.DUMMYFUNCTION("XLOOKUP(B475,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5" s="33" t="s">
        <v>200</v>
      </c>
      <c r="F475" s="14">
        <v>3.5</v>
      </c>
      <c r="G475" s="14" t="s">
        <v>59</v>
      </c>
      <c r="H475" s="14"/>
      <c r="I475" s="14" t="s">
        <v>136</v>
      </c>
      <c r="J475" s="14" t="s">
        <v>63</v>
      </c>
      <c r="K475" s="17" t="str">
        <f>IFERROR(__xludf.DUMMYFUNCTION("XLOOKUP(B475,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""-"")"),"velmurugan.bt23@bitsathy.ac.in")</f>
        <v>velmurugan.bt23@bitsathy.ac.in</v>
      </c>
      <c r="L475" s="21" t="str">
        <f>IFERROR(__xludf.DUMMYFUNCTION("XLOOKUP(B475,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""-"")"),"9500915528")</f>
        <v>9500915528</v>
      </c>
      <c r="M475" s="14" t="s">
        <v>240</v>
      </c>
      <c r="N475" s="14" t="s">
        <v>781</v>
      </c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22"/>
      <c r="AA475" s="22"/>
      <c r="AB475" s="22"/>
      <c r="AC475" s="22"/>
      <c r="AD475" s="22"/>
    </row>
    <row r="476">
      <c r="A476" s="21">
        <v>475.0</v>
      </c>
      <c r="B476" s="32" t="s">
        <v>792</v>
      </c>
      <c r="C476" s="16" t="str">
        <f>IFERROR(__xludf.DUMMYFUNCTION("XLOOKUP(B476,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""-"")"),"LATHIKA M")</f>
        <v>LATHIKA M</v>
      </c>
      <c r="D476" s="17" t="str">
        <f>IFERROR(__xludf.DUMMYFUNCTION("XLOOKUP(B476,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476" s="33" t="s">
        <v>200</v>
      </c>
      <c r="F476" s="14">
        <v>3.5</v>
      </c>
      <c r="G476" s="14" t="s">
        <v>59</v>
      </c>
      <c r="H476" s="14"/>
      <c r="I476" s="14" t="s">
        <v>136</v>
      </c>
      <c r="J476" s="14" t="s">
        <v>63</v>
      </c>
      <c r="K476" s="17" t="str">
        <f>IFERROR(__xludf.DUMMYFUNCTION("XLOOKUP(B476,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""-"")"),"lathika.bm23@bitsathy.ac.in")</f>
        <v>lathika.bm23@bitsathy.ac.in</v>
      </c>
      <c r="L476" s="21" t="str">
        <f>IFERROR(__xludf.DUMMYFUNCTION("XLOOKUP(B476,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""-"")"),"8778648180")</f>
        <v>8778648180</v>
      </c>
      <c r="M476" s="14" t="s">
        <v>240</v>
      </c>
      <c r="N476" s="14" t="s">
        <v>781</v>
      </c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22"/>
      <c r="AA476" s="22"/>
      <c r="AB476" s="22"/>
      <c r="AC476" s="22"/>
      <c r="AD476" s="22"/>
    </row>
    <row r="477">
      <c r="A477" s="21">
        <v>476.0</v>
      </c>
      <c r="B477" s="32" t="s">
        <v>793</v>
      </c>
      <c r="C477" s="16" t="str">
        <f>IFERROR(__xludf.DUMMYFUNCTION("XLOOKUP(B477,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""-"")"),"PRABAVATHI S")</f>
        <v>PRABAVATHI S</v>
      </c>
      <c r="D477" s="17" t="str">
        <f>IFERROR(__xludf.DUMMYFUNCTION("XLOOKUP(B477,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7" s="33" t="s">
        <v>200</v>
      </c>
      <c r="F477" s="14">
        <v>3.5</v>
      </c>
      <c r="G477" s="14" t="s">
        <v>59</v>
      </c>
      <c r="H477" s="14"/>
      <c r="I477" s="14" t="s">
        <v>136</v>
      </c>
      <c r="J477" s="14" t="s">
        <v>63</v>
      </c>
      <c r="K477" s="17" t="str">
        <f>IFERROR(__xludf.DUMMYFUNCTION("XLOOKUP(B477,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""-"")"),"prabavathi.bt23@bitsathy.ac.in")</f>
        <v>prabavathi.bt23@bitsathy.ac.in</v>
      </c>
      <c r="L477" s="21" t="str">
        <f>IFERROR(__xludf.DUMMYFUNCTION("XLOOKUP(B477,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""-"")"),"6385647654")</f>
        <v>6385647654</v>
      </c>
      <c r="M477" s="14" t="s">
        <v>240</v>
      </c>
      <c r="N477" s="14" t="s">
        <v>781</v>
      </c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22"/>
      <c r="AA477" s="22"/>
      <c r="AB477" s="22"/>
      <c r="AC477" s="22"/>
      <c r="AD477" s="22"/>
    </row>
    <row r="478">
      <c r="A478" s="21">
        <v>477.0</v>
      </c>
      <c r="B478" s="32" t="s">
        <v>794</v>
      </c>
      <c r="C478" s="16" t="str">
        <f>IFERROR(__xludf.DUMMYFUNCTION("XLOOKUP(B478,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""-"")"),"SHARMESH K")</f>
        <v>SHARMESH K</v>
      </c>
      <c r="D478" s="17" t="str">
        <f>IFERROR(__xludf.DUMMYFUNCTION("XLOOKUP(B478,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8" s="33" t="s">
        <v>200</v>
      </c>
      <c r="F478" s="14">
        <v>3.5</v>
      </c>
      <c r="G478" s="14" t="s">
        <v>59</v>
      </c>
      <c r="H478" s="14"/>
      <c r="I478" s="14" t="s">
        <v>136</v>
      </c>
      <c r="J478" s="14" t="s">
        <v>63</v>
      </c>
      <c r="K478" s="17" t="str">
        <f>IFERROR(__xludf.DUMMYFUNCTION("XLOOKUP(B478,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""-"")"),"sharmeshk.bt23@bitsathy.ac.in")</f>
        <v>sharmeshk.bt23@bitsathy.ac.in</v>
      </c>
      <c r="L478" s="21" t="str">
        <f>IFERROR(__xludf.DUMMYFUNCTION("XLOOKUP(B478,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""-"")"),"9585573767")</f>
        <v>9585573767</v>
      </c>
      <c r="M478" s="14" t="s">
        <v>240</v>
      </c>
      <c r="N478" s="14" t="s">
        <v>781</v>
      </c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22"/>
      <c r="AA478" s="22"/>
      <c r="AB478" s="22"/>
      <c r="AC478" s="22"/>
      <c r="AD478" s="22"/>
    </row>
    <row r="479">
      <c r="A479" s="21">
        <v>478.0</v>
      </c>
      <c r="B479" s="32" t="s">
        <v>795</v>
      </c>
      <c r="C479" s="16" t="str">
        <f>IFERROR(__xludf.DUMMYFUNCTION("XLOOKUP(B479,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""-"")"),"VIDHYA S S")</f>
        <v>VIDHYA S S</v>
      </c>
      <c r="D479" s="17" t="str">
        <f>IFERROR(__xludf.DUMMYFUNCTION("XLOOKUP(B479,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79" s="33" t="s">
        <v>200</v>
      </c>
      <c r="F479" s="14">
        <v>3.5</v>
      </c>
      <c r="G479" s="14" t="s">
        <v>59</v>
      </c>
      <c r="H479" s="14"/>
      <c r="I479" s="14" t="s">
        <v>136</v>
      </c>
      <c r="J479" s="14" t="s">
        <v>99</v>
      </c>
      <c r="K479" s="17" t="str">
        <f>IFERROR(__xludf.DUMMYFUNCTION("XLOOKUP(B479,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""-"")"),"vidhyas.bt23@bitsathy.ac.in")</f>
        <v>vidhyas.bt23@bitsathy.ac.in</v>
      </c>
      <c r="L479" s="21" t="str">
        <f>IFERROR(__xludf.DUMMYFUNCTION("XLOOKUP(B479,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""-"")"),"9500138481")</f>
        <v>9500138481</v>
      </c>
      <c r="M479" s="14" t="s">
        <v>240</v>
      </c>
      <c r="N479" s="14" t="s">
        <v>781</v>
      </c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22"/>
      <c r="AA479" s="22"/>
      <c r="AB479" s="22"/>
      <c r="AC479" s="22"/>
      <c r="AD479" s="22"/>
    </row>
    <row r="480">
      <c r="A480" s="21">
        <v>479.0</v>
      </c>
      <c r="B480" s="32" t="s">
        <v>796</v>
      </c>
      <c r="C480" s="16" t="str">
        <f>IFERROR(__xludf.DUMMYFUNCTION("XLOOKUP(B480,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""-"")"),"HARITHA N G")</f>
        <v>HARITHA N G</v>
      </c>
      <c r="D480" s="17" t="str">
        <f>IFERROR(__xludf.DUMMYFUNCTION("XLOOKUP(B480,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480" s="33" t="s">
        <v>200</v>
      </c>
      <c r="F480" s="14">
        <v>3.5</v>
      </c>
      <c r="G480" s="14" t="s">
        <v>59</v>
      </c>
      <c r="H480" s="14"/>
      <c r="I480" s="14" t="s">
        <v>136</v>
      </c>
      <c r="J480" s="14" t="s">
        <v>63</v>
      </c>
      <c r="K480" s="17" t="str">
        <f>IFERROR(__xludf.DUMMYFUNCTION("XLOOKUP(B480,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""-"")"),"haritha.bt23@bitsathy.ac.in")</f>
        <v>haritha.bt23@bitsathy.ac.in</v>
      </c>
      <c r="L480" s="21" t="str">
        <f>IFERROR(__xludf.DUMMYFUNCTION("XLOOKUP(B480,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""-"")"),"8248817738")</f>
        <v>8248817738</v>
      </c>
      <c r="M480" s="14" t="s">
        <v>240</v>
      </c>
      <c r="N480" s="14" t="s">
        <v>781</v>
      </c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22"/>
      <c r="AA480" s="22"/>
      <c r="AB480" s="22"/>
      <c r="AC480" s="22"/>
      <c r="AD480" s="22"/>
    </row>
    <row r="481">
      <c r="A481" s="21">
        <v>480.0</v>
      </c>
      <c r="B481" s="32" t="s">
        <v>797</v>
      </c>
      <c r="C481" s="16" t="str">
        <f>IFERROR(__xludf.DUMMYFUNCTION("XLOOKUP(B481,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""-"")"),"THARUNYA S T")</f>
        <v>THARUNYA S T</v>
      </c>
      <c r="D481" s="17" t="str">
        <f>IFERROR(__xludf.DUMMYFUNCTION("XLOOKUP(B481,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481" s="33" t="s">
        <v>153</v>
      </c>
      <c r="F481" s="14">
        <v>4.0</v>
      </c>
      <c r="G481" s="14" t="s">
        <v>59</v>
      </c>
      <c r="H481" s="14"/>
      <c r="I481" s="14" t="s">
        <v>136</v>
      </c>
      <c r="J481" s="14" t="s">
        <v>266</v>
      </c>
      <c r="K481" s="17" t="str">
        <f>IFERROR(__xludf.DUMMYFUNCTION("XLOOKUP(B481,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""-"")"),"tharunya.ee23@bitsathy.ac.in")</f>
        <v>tharunya.ee23@bitsathy.ac.in</v>
      </c>
      <c r="L481" s="21" t="str">
        <f>IFERROR(__xludf.DUMMYFUNCTION("XLOOKUP(B481,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""-"")"),"7667753366")</f>
        <v>7667753366</v>
      </c>
      <c r="M481" s="14" t="s">
        <v>240</v>
      </c>
      <c r="N481" s="14" t="s">
        <v>781</v>
      </c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22"/>
      <c r="AA481" s="22"/>
      <c r="AB481" s="22"/>
      <c r="AC481" s="22"/>
      <c r="AD481" s="22"/>
    </row>
    <row r="482">
      <c r="A482" s="21">
        <v>481.0</v>
      </c>
      <c r="B482" s="32" t="s">
        <v>798</v>
      </c>
      <c r="C482" s="16" t="str">
        <f>IFERROR(__xludf.DUMMYFUNCTION("XLOOKUP(B482,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""-"")"),"JEYASABARI S")</f>
        <v>JEYASABARI S</v>
      </c>
      <c r="D482" s="17" t="str">
        <f>IFERROR(__xludf.DUMMYFUNCTION("XLOOKUP(B482,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82" s="33" t="s">
        <v>153</v>
      </c>
      <c r="F482" s="14">
        <v>4.0</v>
      </c>
      <c r="G482" s="14" t="s">
        <v>59</v>
      </c>
      <c r="H482" s="14" t="s">
        <v>60</v>
      </c>
      <c r="I482" s="14" t="s">
        <v>136</v>
      </c>
      <c r="J482" s="14" t="s">
        <v>63</v>
      </c>
      <c r="K482" s="17" t="str">
        <f>IFERROR(__xludf.DUMMYFUNCTION("XLOOKUP(B482,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""-"")"),"jeyasabari.me23@bitsathy.ac.in")</f>
        <v>jeyasabari.me23@bitsathy.ac.in</v>
      </c>
      <c r="L482" s="21" t="str">
        <f>IFERROR(__xludf.DUMMYFUNCTION("XLOOKUP(B482,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""-"")"),"8248317177")</f>
        <v>8248317177</v>
      </c>
      <c r="M482" s="14" t="s">
        <v>240</v>
      </c>
      <c r="N482" s="14" t="s">
        <v>781</v>
      </c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22"/>
      <c r="AA482" s="22"/>
      <c r="AB482" s="22"/>
      <c r="AC482" s="22"/>
      <c r="AD482" s="22"/>
    </row>
    <row r="483">
      <c r="A483" s="21">
        <v>482.0</v>
      </c>
      <c r="B483" s="32" t="s">
        <v>799</v>
      </c>
      <c r="C483" s="16" t="str">
        <f>IFERROR(__xludf.DUMMYFUNCTION("XLOOKUP(B483,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""-"")"),"TAMIZHAKARAN  K")</f>
        <v>TAMIZHAKARAN  K</v>
      </c>
      <c r="D483" s="17" t="str">
        <f>IFERROR(__xludf.DUMMYFUNCTION("XLOOKUP(B483,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83" s="33" t="s">
        <v>153</v>
      </c>
      <c r="F483" s="14">
        <v>4.0</v>
      </c>
      <c r="G483" s="14" t="s">
        <v>59</v>
      </c>
      <c r="H483" s="14" t="s">
        <v>60</v>
      </c>
      <c r="I483" s="14" t="s">
        <v>136</v>
      </c>
      <c r="J483" s="14" t="s">
        <v>63</v>
      </c>
      <c r="K483" s="17" t="str">
        <f>IFERROR(__xludf.DUMMYFUNCTION("XLOOKUP(B483,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""-"")"),"tamizhakaran.me23@bitsathy.ac.in")</f>
        <v>tamizhakaran.me23@bitsathy.ac.in</v>
      </c>
      <c r="L483" s="21" t="str">
        <f>IFERROR(__xludf.DUMMYFUNCTION("XLOOKUP(B483,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""-"")"),"9442239146")</f>
        <v>9442239146</v>
      </c>
      <c r="M483" s="14" t="s">
        <v>240</v>
      </c>
      <c r="N483" s="14" t="s">
        <v>781</v>
      </c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22"/>
      <c r="AA483" s="22"/>
      <c r="AB483" s="22"/>
      <c r="AC483" s="22"/>
      <c r="AD483" s="22"/>
    </row>
    <row r="484">
      <c r="A484" s="21">
        <v>483.0</v>
      </c>
      <c r="B484" s="32" t="s">
        <v>800</v>
      </c>
      <c r="C484" s="16" t="str">
        <f>IFERROR(__xludf.DUMMYFUNCTION("XLOOKUP(B484,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RIYAS N")</f>
        <v>MOHAMMED RIYAS N</v>
      </c>
      <c r="D484" s="17" t="str">
        <f>IFERROR(__xludf.DUMMYFUNCTION("XLOOKUP(B484,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484" s="33" t="s">
        <v>181</v>
      </c>
      <c r="F484" s="14">
        <v>3.0</v>
      </c>
      <c r="G484" s="14" t="s">
        <v>59</v>
      </c>
      <c r="H484" s="14"/>
      <c r="I484" s="14" t="s">
        <v>136</v>
      </c>
      <c r="J484" s="14" t="s">
        <v>99</v>
      </c>
      <c r="K484" s="17" t="str">
        <f>IFERROR(__xludf.DUMMYFUNCTION("XLOOKUP(B484,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""-"")"),"mohammedriyas.ei23@bitsathy.ac.in")</f>
        <v>mohammedriyas.ei23@bitsathy.ac.in</v>
      </c>
      <c r="L484" s="21" t="str">
        <f>IFERROR(__xludf.DUMMYFUNCTION("XLOOKUP(B484,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""-"")"),"8110020222")</f>
        <v>8110020222</v>
      </c>
      <c r="M484" s="14" t="s">
        <v>420</v>
      </c>
      <c r="N484" s="14" t="s">
        <v>801</v>
      </c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22"/>
      <c r="AA484" s="22"/>
      <c r="AB484" s="22"/>
      <c r="AC484" s="22"/>
      <c r="AD484" s="22"/>
    </row>
    <row r="485">
      <c r="A485" s="21">
        <v>484.0</v>
      </c>
      <c r="B485" s="32" t="s">
        <v>390</v>
      </c>
      <c r="C485" s="16" t="str">
        <f>IFERROR(__xludf.DUMMYFUNCTION("XLOOKUP(B485,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""-"")"),"RAMANAN N")</f>
        <v>RAMANAN N</v>
      </c>
      <c r="D485" s="17" t="str">
        <f>IFERROR(__xludf.DUMMYFUNCTION("XLOOKUP(B485,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85" s="33" t="s">
        <v>184</v>
      </c>
      <c r="F485" s="14">
        <v>3.0</v>
      </c>
      <c r="G485" s="14" t="s">
        <v>59</v>
      </c>
      <c r="H485" s="14"/>
      <c r="I485" s="14" t="s">
        <v>136</v>
      </c>
      <c r="J485" s="14" t="s">
        <v>63</v>
      </c>
      <c r="K485" s="17" t="str">
        <f>IFERROR(__xludf.DUMMYFUNCTION("XLOOKUP(B485,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""-"")"),"ramanan.mz23@bitsathy.ac.in")</f>
        <v>ramanan.mz23@bitsathy.ac.in</v>
      </c>
      <c r="L485" s="21" t="str">
        <f>IFERROR(__xludf.DUMMYFUNCTION("XLOOKUP(B485,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""-"")"),"9080468472")</f>
        <v>9080468472</v>
      </c>
      <c r="M485" s="14" t="s">
        <v>71</v>
      </c>
      <c r="N485" s="14" t="s">
        <v>801</v>
      </c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22"/>
      <c r="AA485" s="22"/>
      <c r="AB485" s="22"/>
      <c r="AC485" s="22"/>
      <c r="AD485" s="22"/>
    </row>
    <row r="486">
      <c r="A486" s="21">
        <v>485.0</v>
      </c>
      <c r="B486" s="32" t="s">
        <v>802</v>
      </c>
      <c r="C486" s="16" t="str">
        <f>IFERROR(__xludf.DUMMYFUNCTION("XLOOKUP(B486,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""-"")"),"RITISH L")</f>
        <v>RITISH L</v>
      </c>
      <c r="D486" s="17" t="str">
        <f>IFERROR(__xludf.DUMMYFUNCTION("XLOOKUP(B486,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86" s="33" t="s">
        <v>184</v>
      </c>
      <c r="F486" s="14">
        <v>3.0</v>
      </c>
      <c r="G486" s="14" t="s">
        <v>59</v>
      </c>
      <c r="H486" s="14"/>
      <c r="I486" s="14" t="s">
        <v>136</v>
      </c>
      <c r="J486" s="14" t="s">
        <v>63</v>
      </c>
      <c r="K486" s="17" t="str">
        <f>IFERROR(__xludf.DUMMYFUNCTION("XLOOKUP(B486,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""-"")"),"ritish.mz23@bitsathy.ac.in")</f>
        <v>ritish.mz23@bitsathy.ac.in</v>
      </c>
      <c r="L486" s="21" t="str">
        <f>IFERROR(__xludf.DUMMYFUNCTION("XLOOKUP(B486,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""-"")"),"6369625204")</f>
        <v>6369625204</v>
      </c>
      <c r="M486" s="14" t="s">
        <v>71</v>
      </c>
      <c r="N486" s="14" t="s">
        <v>801</v>
      </c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22"/>
      <c r="AA486" s="22"/>
      <c r="AB486" s="22"/>
      <c r="AC486" s="22"/>
      <c r="AD486" s="22"/>
    </row>
    <row r="487">
      <c r="A487" s="21">
        <v>486.0</v>
      </c>
      <c r="B487" s="32" t="s">
        <v>803</v>
      </c>
      <c r="C487" s="16" t="str">
        <f>IFERROR(__xludf.DUMMYFUNCTION("XLOOKUP(B487,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""-"")"),"BHARATH A S")</f>
        <v>BHARATH A S</v>
      </c>
      <c r="D487" s="17" t="str">
        <f>IFERROR(__xludf.DUMMYFUNCTION("XLOOKUP(B487,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87" s="33" t="s">
        <v>162</v>
      </c>
      <c r="F487" s="14">
        <v>3.0</v>
      </c>
      <c r="G487" s="14" t="s">
        <v>252</v>
      </c>
      <c r="H487" s="14"/>
      <c r="I487" s="14" t="s">
        <v>136</v>
      </c>
      <c r="J487" s="14" t="s">
        <v>266</v>
      </c>
      <c r="K487" s="17" t="str">
        <f>IFERROR(__xludf.DUMMYFUNCTION("XLOOKUP(B487,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""-"")"),"bharath.me23@bitsathy.ac.in")</f>
        <v>bharath.me23@bitsathy.ac.in</v>
      </c>
      <c r="L487" s="21" t="str">
        <f>IFERROR(__xludf.DUMMYFUNCTION("XLOOKUP(B487,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""-"")"),"7418754320")</f>
        <v>7418754320</v>
      </c>
      <c r="M487" s="14" t="s">
        <v>71</v>
      </c>
      <c r="N487" s="14" t="s">
        <v>801</v>
      </c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22"/>
      <c r="AA487" s="22"/>
      <c r="AB487" s="22"/>
      <c r="AC487" s="22"/>
      <c r="AD487" s="22"/>
    </row>
    <row r="488">
      <c r="A488" s="21">
        <v>487.0</v>
      </c>
      <c r="B488" s="32" t="s">
        <v>804</v>
      </c>
      <c r="C488" s="16" t="str">
        <f>IFERROR(__xludf.DUMMYFUNCTION("XLOOKUP(B488,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""-"")"),"DEEPAK VENKAT S")</f>
        <v>DEEPAK VENKAT S</v>
      </c>
      <c r="D488" s="17" t="str">
        <f>IFERROR(__xludf.DUMMYFUNCTION("XLOOKUP(B488,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88" s="33" t="s">
        <v>162</v>
      </c>
      <c r="F488" s="14">
        <v>3.0</v>
      </c>
      <c r="G488" s="14" t="s">
        <v>252</v>
      </c>
      <c r="H488" s="14"/>
      <c r="I488" s="14" t="s">
        <v>136</v>
      </c>
      <c r="J488" s="14" t="s">
        <v>266</v>
      </c>
      <c r="K488" s="17" t="str">
        <f>IFERROR(__xludf.DUMMYFUNCTION("XLOOKUP(B488,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""-"")"),"deepakvenkat.me23@bitsathy.ac.in")</f>
        <v>deepakvenkat.me23@bitsathy.ac.in</v>
      </c>
      <c r="L488" s="21" t="str">
        <f>IFERROR(__xludf.DUMMYFUNCTION("XLOOKUP(B488,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""-"")"),"7904914421")</f>
        <v>7904914421</v>
      </c>
      <c r="M488" s="14" t="s">
        <v>71</v>
      </c>
      <c r="N488" s="14" t="s">
        <v>801</v>
      </c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22"/>
      <c r="AA488" s="22"/>
      <c r="AB488" s="22"/>
      <c r="AC488" s="22"/>
      <c r="AD488" s="22"/>
    </row>
    <row r="489">
      <c r="A489" s="21">
        <v>488.0</v>
      </c>
      <c r="B489" s="32" t="s">
        <v>805</v>
      </c>
      <c r="C489" s="16" t="str">
        <f>IFERROR(__xludf.DUMMYFUNCTION("XLOOKUP(B489,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""-"")"),"GURUVISHNU A")</f>
        <v>GURUVISHNU A</v>
      </c>
      <c r="D489" s="17" t="str">
        <f>IFERROR(__xludf.DUMMYFUNCTION("XLOOKUP(B489,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89" s="33" t="s">
        <v>162</v>
      </c>
      <c r="F489" s="14">
        <v>3.0</v>
      </c>
      <c r="G489" s="14" t="s">
        <v>252</v>
      </c>
      <c r="H489" s="14"/>
      <c r="I489" s="14" t="s">
        <v>136</v>
      </c>
      <c r="J489" s="14" t="s">
        <v>266</v>
      </c>
      <c r="K489" s="17" t="str">
        <f>IFERROR(__xludf.DUMMYFUNCTION("XLOOKUP(B489,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""-"")"),"guruvishnu.me23@bitsathy.ac.in")</f>
        <v>guruvishnu.me23@bitsathy.ac.in</v>
      </c>
      <c r="L489" s="21" t="str">
        <f>IFERROR(__xludf.DUMMYFUNCTION("XLOOKUP(B489,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""-"")"),"9080581929")</f>
        <v>9080581929</v>
      </c>
      <c r="M489" s="14" t="s">
        <v>71</v>
      </c>
      <c r="N489" s="14" t="s">
        <v>801</v>
      </c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22"/>
      <c r="AA489" s="22"/>
      <c r="AB489" s="22"/>
      <c r="AC489" s="22"/>
      <c r="AD489" s="22"/>
    </row>
    <row r="490">
      <c r="A490" s="21">
        <v>489.0</v>
      </c>
      <c r="B490" s="32" t="s">
        <v>806</v>
      </c>
      <c r="C490" s="16" t="str">
        <f>IFERROR(__xludf.DUMMYFUNCTION("XLOOKUP(B490,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""-"")"),"PRIYAN R S")</f>
        <v>PRIYAN R S</v>
      </c>
      <c r="D490" s="17" t="str">
        <f>IFERROR(__xludf.DUMMYFUNCTION("XLOOKUP(B490,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0" s="33" t="s">
        <v>162</v>
      </c>
      <c r="F490" s="14">
        <v>3.0</v>
      </c>
      <c r="G490" s="14" t="s">
        <v>252</v>
      </c>
      <c r="H490" s="14"/>
      <c r="I490" s="14" t="s">
        <v>136</v>
      </c>
      <c r="J490" s="14" t="s">
        <v>266</v>
      </c>
      <c r="K490" s="17" t="str">
        <f>IFERROR(__xludf.DUMMYFUNCTION("XLOOKUP(B490,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""-"")"),"priyanrs.me23@bitsathy.ac.in")</f>
        <v>priyanrs.me23@bitsathy.ac.in</v>
      </c>
      <c r="L490" s="21" t="str">
        <f>IFERROR(__xludf.DUMMYFUNCTION("XLOOKUP(B490,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""-"")"),"6374972377")</f>
        <v>6374972377</v>
      </c>
      <c r="M490" s="14" t="s">
        <v>71</v>
      </c>
      <c r="N490" s="14" t="s">
        <v>801</v>
      </c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22"/>
      <c r="AA490" s="22"/>
      <c r="AB490" s="22"/>
      <c r="AC490" s="22"/>
      <c r="AD490" s="22"/>
    </row>
    <row r="491">
      <c r="A491" s="21">
        <v>490.0</v>
      </c>
      <c r="B491" s="32" t="s">
        <v>807</v>
      </c>
      <c r="C491" s="16" t="str">
        <f>IFERROR(__xludf.DUMMYFUNCTION("XLOOKUP(B491,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""-"")"),"SHANTHOSH S")</f>
        <v>SHANTHOSH S</v>
      </c>
      <c r="D491" s="17" t="str">
        <f>IFERROR(__xludf.DUMMYFUNCTION("XLOOKUP(B491,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1" s="33" t="s">
        <v>162</v>
      </c>
      <c r="F491" s="14">
        <v>3.0</v>
      </c>
      <c r="G491" s="14" t="s">
        <v>252</v>
      </c>
      <c r="H491" s="14"/>
      <c r="I491" s="14" t="s">
        <v>136</v>
      </c>
      <c r="J491" s="14" t="s">
        <v>99</v>
      </c>
      <c r="K491" s="17" t="str">
        <f>IFERROR(__xludf.DUMMYFUNCTION("XLOOKUP(B491,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""-"")"),"shanthosh.me23@bitsathy.ac.in")</f>
        <v>shanthosh.me23@bitsathy.ac.in</v>
      </c>
      <c r="L491" s="21" t="str">
        <f>IFERROR(__xludf.DUMMYFUNCTION("XLOOKUP(B491,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""-"")"),"7305615515")</f>
        <v>7305615515</v>
      </c>
      <c r="M491" s="14" t="s">
        <v>71</v>
      </c>
      <c r="N491" s="14" t="s">
        <v>801</v>
      </c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22"/>
      <c r="AA491" s="22"/>
      <c r="AB491" s="22"/>
      <c r="AC491" s="22"/>
      <c r="AD491" s="22"/>
    </row>
    <row r="492">
      <c r="A492" s="21">
        <v>491.0</v>
      </c>
      <c r="B492" s="32" t="s">
        <v>808</v>
      </c>
      <c r="C492" s="16" t="str">
        <f>IFERROR(__xludf.DUMMYFUNCTION("XLOOKUP(B492,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""-"")"),"SHYAM SURGEETH S")</f>
        <v>SHYAM SURGEETH S</v>
      </c>
      <c r="D492" s="17" t="str">
        <f>IFERROR(__xludf.DUMMYFUNCTION("XLOOKUP(B492,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2" s="33" t="s">
        <v>162</v>
      </c>
      <c r="F492" s="14">
        <v>3.0</v>
      </c>
      <c r="G492" s="14" t="s">
        <v>252</v>
      </c>
      <c r="H492" s="14"/>
      <c r="I492" s="14" t="s">
        <v>136</v>
      </c>
      <c r="J492" s="14" t="s">
        <v>99</v>
      </c>
      <c r="K492" s="17" t="str">
        <f>IFERROR(__xludf.DUMMYFUNCTION("XLOOKUP(B492,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""-"")"),"shyamsurgeeth.me23@bitsathy.ac.in")</f>
        <v>shyamsurgeeth.me23@bitsathy.ac.in</v>
      </c>
      <c r="L492" s="21" t="str">
        <f>IFERROR(__xludf.DUMMYFUNCTION("XLOOKUP(B492,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""-"")"),"6385280820")</f>
        <v>6385280820</v>
      </c>
      <c r="M492" s="14" t="s">
        <v>71</v>
      </c>
      <c r="N492" s="14" t="s">
        <v>801</v>
      </c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22"/>
      <c r="AA492" s="22"/>
      <c r="AB492" s="22"/>
      <c r="AC492" s="22"/>
      <c r="AD492" s="22"/>
    </row>
    <row r="493">
      <c r="A493" s="21">
        <v>492.0</v>
      </c>
      <c r="B493" s="32" t="s">
        <v>383</v>
      </c>
      <c r="C493" s="16" t="str">
        <f>IFERROR(__xludf.DUMMYFUNCTION("XLOOKUP(B493,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""-"")"),"SYED ZUHAIR A")</f>
        <v>SYED ZUHAIR A</v>
      </c>
      <c r="D493" s="17" t="str">
        <f>IFERROR(__xludf.DUMMYFUNCTION("XLOOKUP(B493,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3" s="33" t="s">
        <v>162</v>
      </c>
      <c r="F493" s="14">
        <v>3.0</v>
      </c>
      <c r="G493" s="14" t="s">
        <v>252</v>
      </c>
      <c r="H493" s="14"/>
      <c r="I493" s="14" t="s">
        <v>136</v>
      </c>
      <c r="J493" s="14" t="s">
        <v>99</v>
      </c>
      <c r="K493" s="17" t="str">
        <f>IFERROR(__xludf.DUMMYFUNCTION("XLOOKUP(B493,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""-"")"),"syedzuhair.me23@bitsathy.ac.in")</f>
        <v>syedzuhair.me23@bitsathy.ac.in</v>
      </c>
      <c r="L493" s="21" t="str">
        <f>IFERROR(__xludf.DUMMYFUNCTION("XLOOKUP(B493,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""-"")"),"8220795566")</f>
        <v>8220795566</v>
      </c>
      <c r="M493" s="14" t="s">
        <v>71</v>
      </c>
      <c r="N493" s="14" t="s">
        <v>801</v>
      </c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22"/>
      <c r="AA493" s="22"/>
      <c r="AB493" s="22"/>
      <c r="AC493" s="22"/>
      <c r="AD493" s="22"/>
    </row>
    <row r="494">
      <c r="A494" s="21">
        <v>493.0</v>
      </c>
      <c r="B494" s="32" t="s">
        <v>799</v>
      </c>
      <c r="C494" s="16" t="str">
        <f>IFERROR(__xludf.DUMMYFUNCTION("XLOOKUP(B494,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""-"")"),"TAMIZHAKARAN  K")</f>
        <v>TAMIZHAKARAN  K</v>
      </c>
      <c r="D494" s="17" t="str">
        <f>IFERROR(__xludf.DUMMYFUNCTION("XLOOKUP(B494,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4" s="33" t="s">
        <v>162</v>
      </c>
      <c r="F494" s="14">
        <v>3.0</v>
      </c>
      <c r="G494" s="14" t="s">
        <v>252</v>
      </c>
      <c r="H494" s="14"/>
      <c r="I494" s="14" t="s">
        <v>136</v>
      </c>
      <c r="J494" s="14" t="s">
        <v>99</v>
      </c>
      <c r="K494" s="17" t="str">
        <f>IFERROR(__xludf.DUMMYFUNCTION("XLOOKUP(B494,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""-"")"),"tamizhakaran.me23@bitsathy.ac.in")</f>
        <v>tamizhakaran.me23@bitsathy.ac.in</v>
      </c>
      <c r="L494" s="21" t="str">
        <f>IFERROR(__xludf.DUMMYFUNCTION("XLOOKUP(B494,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""-"")"),"9442239146")</f>
        <v>9442239146</v>
      </c>
      <c r="M494" s="14" t="s">
        <v>71</v>
      </c>
      <c r="N494" s="14" t="s">
        <v>801</v>
      </c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22"/>
      <c r="AA494" s="22"/>
      <c r="AB494" s="22"/>
      <c r="AC494" s="22"/>
      <c r="AD494" s="22"/>
    </row>
    <row r="495">
      <c r="A495" s="21">
        <v>494.0</v>
      </c>
      <c r="B495" s="32" t="s">
        <v>809</v>
      </c>
      <c r="C495" s="16" t="str">
        <f>IFERROR(__xludf.DUMMYFUNCTION("XLOOKUP(B495,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""-"")"),"VIJAY K R")</f>
        <v>VIJAY K R</v>
      </c>
      <c r="D495" s="17" t="str">
        <f>IFERROR(__xludf.DUMMYFUNCTION("XLOOKUP(B495,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495" s="33" t="s">
        <v>162</v>
      </c>
      <c r="F495" s="14">
        <v>3.0</v>
      </c>
      <c r="G495" s="14" t="s">
        <v>252</v>
      </c>
      <c r="H495" s="14"/>
      <c r="I495" s="14" t="s">
        <v>136</v>
      </c>
      <c r="J495" s="14" t="s">
        <v>99</v>
      </c>
      <c r="K495" s="17" t="str">
        <f>IFERROR(__xludf.DUMMYFUNCTION("XLOOKUP(B495,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""-"")"),"vijay.me23@bitsathy.ac.in")</f>
        <v>vijay.me23@bitsathy.ac.in</v>
      </c>
      <c r="L495" s="21" t="str">
        <f>IFERROR(__xludf.DUMMYFUNCTION("XLOOKUP(B495,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""-"")"),"8300245968")</f>
        <v>8300245968</v>
      </c>
      <c r="M495" s="14" t="s">
        <v>71</v>
      </c>
      <c r="N495" s="14" t="s">
        <v>801</v>
      </c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22"/>
      <c r="AA495" s="22"/>
      <c r="AB495" s="22"/>
      <c r="AC495" s="22"/>
      <c r="AD495" s="22"/>
    </row>
    <row r="496">
      <c r="A496" s="21">
        <v>495.0</v>
      </c>
      <c r="B496" s="32" t="s">
        <v>810</v>
      </c>
      <c r="C496" s="16" t="str">
        <f>IFERROR(__xludf.DUMMYFUNCTION("XLOOKUP(B496,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""-"")"),"ANISH  T")</f>
        <v>ANISH  T</v>
      </c>
      <c r="D496" s="17" t="str">
        <f>IFERROR(__xludf.DUMMYFUNCTION("XLOOKUP(B496,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96" s="33" t="s">
        <v>162</v>
      </c>
      <c r="F496" s="14">
        <v>3.0</v>
      </c>
      <c r="G496" s="14" t="s">
        <v>252</v>
      </c>
      <c r="H496" s="14"/>
      <c r="I496" s="14" t="s">
        <v>136</v>
      </c>
      <c r="J496" s="14" t="s">
        <v>99</v>
      </c>
      <c r="K496" s="17" t="str">
        <f>IFERROR(__xludf.DUMMYFUNCTION("XLOOKUP(B496,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""-"")"),"anish.mz23@bitsathy.ac.in")</f>
        <v>anish.mz23@bitsathy.ac.in</v>
      </c>
      <c r="L496" s="21" t="str">
        <f>IFERROR(__xludf.DUMMYFUNCTION("XLOOKUP(B496,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""-"")"),"8122641755")</f>
        <v>8122641755</v>
      </c>
      <c r="M496" s="14" t="s">
        <v>71</v>
      </c>
      <c r="N496" s="14" t="s">
        <v>801</v>
      </c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22"/>
      <c r="AA496" s="22"/>
      <c r="AB496" s="22"/>
      <c r="AC496" s="22"/>
      <c r="AD496" s="22"/>
    </row>
    <row r="497">
      <c r="A497" s="21">
        <v>496.0</v>
      </c>
      <c r="B497" s="32" t="s">
        <v>349</v>
      </c>
      <c r="C497" s="16" t="str">
        <f>IFERROR(__xludf.DUMMYFUNCTION("XLOOKUP(B497,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""-"")"),"MATHIYAZHAGAN M")</f>
        <v>MATHIYAZHAGAN M</v>
      </c>
      <c r="D497" s="17" t="str">
        <f>IFERROR(__xludf.DUMMYFUNCTION("XLOOKUP(B497,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97" s="33" t="s">
        <v>162</v>
      </c>
      <c r="F497" s="14">
        <v>3.0</v>
      </c>
      <c r="G497" s="14" t="s">
        <v>252</v>
      </c>
      <c r="H497" s="14"/>
      <c r="I497" s="14" t="s">
        <v>136</v>
      </c>
      <c r="J497" s="14" t="s">
        <v>99</v>
      </c>
      <c r="K497" s="17" t="str">
        <f>IFERROR(__xludf.DUMMYFUNCTION("XLOOKUP(B497,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""-"")"),"mathiyazhagan.mz23@bitsathy.ac.in")</f>
        <v>mathiyazhagan.mz23@bitsathy.ac.in</v>
      </c>
      <c r="L497" s="21" t="str">
        <f>IFERROR(__xludf.DUMMYFUNCTION("XLOOKUP(B497,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""-"")"),"9944196743")</f>
        <v>9944196743</v>
      </c>
      <c r="M497" s="14" t="s">
        <v>71</v>
      </c>
      <c r="N497" s="14" t="s">
        <v>801</v>
      </c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22"/>
      <c r="AA497" s="22"/>
      <c r="AB497" s="22"/>
      <c r="AC497" s="22"/>
      <c r="AD497" s="22"/>
    </row>
    <row r="498">
      <c r="A498" s="21">
        <v>497.0</v>
      </c>
      <c r="B498" s="32" t="s">
        <v>811</v>
      </c>
      <c r="C498" s="16" t="str">
        <f>IFERROR(__xludf.DUMMYFUNCTION("XLOOKUP(B498,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SHAMEEM A")</f>
        <v>MOHAMMED SHAMEEM A</v>
      </c>
      <c r="D498" s="17" t="str">
        <f>IFERROR(__xludf.DUMMYFUNCTION("XLOOKUP(B498,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98" s="33" t="s">
        <v>162</v>
      </c>
      <c r="F498" s="14">
        <v>3.0</v>
      </c>
      <c r="G498" s="14" t="s">
        <v>252</v>
      </c>
      <c r="H498" s="14"/>
      <c r="I498" s="14" t="s">
        <v>136</v>
      </c>
      <c r="J498" s="14" t="s">
        <v>99</v>
      </c>
      <c r="K498" s="17" t="str">
        <f>IFERROR(__xludf.DUMMYFUNCTION("XLOOKUP(B498,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""-"")"),"mohammedshameem.mz23@bitsathy.ac.in")</f>
        <v>mohammedshameem.mz23@bitsathy.ac.in</v>
      </c>
      <c r="L498" s="21" t="str">
        <f>IFERROR(__xludf.DUMMYFUNCTION("XLOOKUP(B498,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""-"")"),"9344912048")</f>
        <v>9344912048</v>
      </c>
      <c r="M498" s="14" t="s">
        <v>71</v>
      </c>
      <c r="N498" s="14" t="s">
        <v>801</v>
      </c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22"/>
      <c r="AA498" s="22"/>
      <c r="AB498" s="22"/>
      <c r="AC498" s="22"/>
      <c r="AD498" s="22"/>
    </row>
    <row r="499">
      <c r="A499" s="21">
        <v>498.0</v>
      </c>
      <c r="B499" s="32" t="s">
        <v>812</v>
      </c>
      <c r="C499" s="16" t="str">
        <f>IFERROR(__xludf.DUMMYFUNCTION("XLOOKUP(B499,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""-"")"),"NITHISH S")</f>
        <v>NITHISH S</v>
      </c>
      <c r="D499" s="17" t="str">
        <f>IFERROR(__xludf.DUMMYFUNCTION("XLOOKUP(B499,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499" s="33" t="s">
        <v>162</v>
      </c>
      <c r="F499" s="14">
        <v>3.0</v>
      </c>
      <c r="G499" s="14" t="s">
        <v>252</v>
      </c>
      <c r="H499" s="14"/>
      <c r="I499" s="14" t="s">
        <v>136</v>
      </c>
      <c r="J499" s="14" t="s">
        <v>266</v>
      </c>
      <c r="K499" s="17" t="str">
        <f>IFERROR(__xludf.DUMMYFUNCTION("XLOOKUP(B499,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""-"")"),"nithish.mz23@bitsathy.ac.in")</f>
        <v>nithish.mz23@bitsathy.ac.in</v>
      </c>
      <c r="L499" s="21" t="str">
        <f>IFERROR(__xludf.DUMMYFUNCTION("XLOOKUP(B499,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""-"")"),"8838021366")</f>
        <v>8838021366</v>
      </c>
      <c r="M499" s="14" t="s">
        <v>71</v>
      </c>
      <c r="N499" s="14" t="s">
        <v>801</v>
      </c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22"/>
      <c r="AA499" s="22"/>
      <c r="AB499" s="22"/>
      <c r="AC499" s="22"/>
      <c r="AD499" s="22"/>
    </row>
    <row r="500">
      <c r="A500" s="21">
        <v>499.0</v>
      </c>
      <c r="B500" s="32" t="s">
        <v>761</v>
      </c>
      <c r="C500" s="16" t="str">
        <f>IFERROR(__xludf.DUMMYFUNCTION("XLOOKUP(B500,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""-"")"),"PRINCIA I")</f>
        <v>PRINCIA I</v>
      </c>
      <c r="D500" s="17" t="str">
        <f>IFERROR(__xludf.DUMMYFUNCTION("XLOOKUP(B500,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00" s="33" t="s">
        <v>162</v>
      </c>
      <c r="F500" s="14">
        <v>3.0</v>
      </c>
      <c r="G500" s="14" t="s">
        <v>252</v>
      </c>
      <c r="H500" s="14"/>
      <c r="I500" s="14" t="s">
        <v>136</v>
      </c>
      <c r="J500" s="14" t="s">
        <v>99</v>
      </c>
      <c r="K500" s="17" t="str">
        <f>IFERROR(__xludf.DUMMYFUNCTION("XLOOKUP(B500,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""-"")"),"princia.mz23@bitsathy.ac.in")</f>
        <v>princia.mz23@bitsathy.ac.in</v>
      </c>
      <c r="L500" s="21" t="str">
        <f>IFERROR(__xludf.DUMMYFUNCTION("XLOOKUP(B500,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""-"")"),"7904532056")</f>
        <v>7904532056</v>
      </c>
      <c r="M500" s="14" t="s">
        <v>71</v>
      </c>
      <c r="N500" s="14" t="s">
        <v>801</v>
      </c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22"/>
      <c r="AA500" s="22"/>
      <c r="AB500" s="22"/>
      <c r="AC500" s="22"/>
      <c r="AD500" s="22"/>
    </row>
    <row r="501">
      <c r="A501" s="21">
        <v>500.0</v>
      </c>
      <c r="B501" s="32" t="s">
        <v>813</v>
      </c>
      <c r="C501" s="16" t="str">
        <f>IFERROR(__xludf.DUMMYFUNCTION("XLOOKUP(B501,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""-"")"),"SUBATHRA R")</f>
        <v>SUBATHRA R</v>
      </c>
      <c r="D501" s="17" t="str">
        <f>IFERROR(__xludf.DUMMYFUNCTION("XLOOKUP(B501,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01" s="33" t="s">
        <v>162</v>
      </c>
      <c r="F501" s="14">
        <v>3.0</v>
      </c>
      <c r="G501" s="14" t="s">
        <v>252</v>
      </c>
      <c r="H501" s="14"/>
      <c r="I501" s="14" t="s">
        <v>136</v>
      </c>
      <c r="J501" s="14" t="s">
        <v>99</v>
      </c>
      <c r="K501" s="17" t="str">
        <f>IFERROR(__xludf.DUMMYFUNCTION("XLOOKUP(B501,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""-"")"),"subathra.mz23@bitsathy.ac.in")</f>
        <v>subathra.mz23@bitsathy.ac.in</v>
      </c>
      <c r="L501" s="21" t="str">
        <f>IFERROR(__xludf.DUMMYFUNCTION("XLOOKUP(B501,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""-"")"),"9361793585")</f>
        <v>9361793585</v>
      </c>
      <c r="M501" s="14" t="s">
        <v>71</v>
      </c>
      <c r="N501" s="14" t="s">
        <v>801</v>
      </c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22"/>
      <c r="AA501" s="22"/>
      <c r="AB501" s="22"/>
      <c r="AC501" s="22"/>
      <c r="AD501" s="22"/>
    </row>
    <row r="502">
      <c r="A502" s="21">
        <v>501.0</v>
      </c>
      <c r="B502" s="32" t="s">
        <v>814</v>
      </c>
      <c r="C502" s="16" t="str">
        <f>IFERROR(__xludf.DUMMYFUNCTION("XLOOKUP(B502,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""-"")"),"VIDHYASRI T")</f>
        <v>VIDHYASRI T</v>
      </c>
      <c r="D502" s="17" t="str">
        <f>IFERROR(__xludf.DUMMYFUNCTION("XLOOKUP(B502,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02" s="33" t="s">
        <v>162</v>
      </c>
      <c r="F502" s="14">
        <v>3.0</v>
      </c>
      <c r="G502" s="14" t="s">
        <v>252</v>
      </c>
      <c r="H502" s="14"/>
      <c r="I502" s="14" t="s">
        <v>136</v>
      </c>
      <c r="J502" s="14" t="s">
        <v>99</v>
      </c>
      <c r="K502" s="17" t="str">
        <f>IFERROR(__xludf.DUMMYFUNCTION("XLOOKUP(B502,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""-"")"),"vidhyasri.mz23@bitsathy.ac.in")</f>
        <v>vidhyasri.mz23@bitsathy.ac.in</v>
      </c>
      <c r="L502" s="21" t="str">
        <f>IFERROR(__xludf.DUMMYFUNCTION("XLOOKUP(B502,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""-"")"),"9150223979")</f>
        <v>9150223979</v>
      </c>
      <c r="M502" s="14" t="s">
        <v>71</v>
      </c>
      <c r="N502" s="14" t="s">
        <v>801</v>
      </c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22"/>
      <c r="AA502" s="22"/>
      <c r="AB502" s="22"/>
      <c r="AC502" s="22"/>
      <c r="AD502" s="22"/>
    </row>
    <row r="503">
      <c r="A503" s="21">
        <v>502.0</v>
      </c>
      <c r="B503" s="32" t="s">
        <v>815</v>
      </c>
      <c r="C503" s="16" t="str">
        <f>IFERROR(__xludf.DUMMYFUNCTION("XLOOKUP(B503,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""-"")"),"VISHNUPRIYA S")</f>
        <v>VISHNUPRIYA S</v>
      </c>
      <c r="D503" s="17" t="str">
        <f>IFERROR(__xludf.DUMMYFUNCTION("XLOOKUP(B503,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03" s="33" t="s">
        <v>162</v>
      </c>
      <c r="F503" s="14">
        <v>3.0</v>
      </c>
      <c r="G503" s="14" t="s">
        <v>252</v>
      </c>
      <c r="H503" s="14"/>
      <c r="I503" s="14" t="s">
        <v>136</v>
      </c>
      <c r="J503" s="14" t="s">
        <v>99</v>
      </c>
      <c r="K503" s="17" t="str">
        <f>IFERROR(__xludf.DUMMYFUNCTION("XLOOKUP(B503,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""-"")"),"vishnupriya.mz23@bitsathy.ac.in")</f>
        <v>vishnupriya.mz23@bitsathy.ac.in</v>
      </c>
      <c r="L503" s="21" t="str">
        <f>IFERROR(__xludf.DUMMYFUNCTION("XLOOKUP(B503,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""-"")"),"8148462069")</f>
        <v>8148462069</v>
      </c>
      <c r="M503" s="14" t="s">
        <v>71</v>
      </c>
      <c r="N503" s="14" t="s">
        <v>801</v>
      </c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22"/>
      <c r="AA503" s="22"/>
      <c r="AB503" s="22"/>
      <c r="AC503" s="22"/>
      <c r="AD503" s="22"/>
    </row>
    <row r="504">
      <c r="A504" s="21">
        <v>503.0</v>
      </c>
      <c r="B504" s="32" t="s">
        <v>816</v>
      </c>
      <c r="C504" s="16" t="str">
        <f>IFERROR(__xludf.DUMMYFUNCTION("XLOOKUP(B504,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""-"")"),"DHARMENDRA M")</f>
        <v>DHARMENDRA M</v>
      </c>
      <c r="D504" s="17" t="str">
        <f>IFERROR(__xludf.DUMMYFUNCTION("XLOOKUP(B504,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04" s="33" t="s">
        <v>162</v>
      </c>
      <c r="F504" s="14">
        <v>3.0</v>
      </c>
      <c r="G504" s="14" t="s">
        <v>252</v>
      </c>
      <c r="H504" s="14"/>
      <c r="I504" s="14" t="s">
        <v>136</v>
      </c>
      <c r="J504" s="14" t="s">
        <v>99</v>
      </c>
      <c r="K504" s="17" t="str">
        <f>IFERROR(__xludf.DUMMYFUNCTION("XLOOKUP(B504,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""-"")"),"dharmendra.me23@bitsathy.ac.in")</f>
        <v>dharmendra.me23@bitsathy.ac.in</v>
      </c>
      <c r="L504" s="21" t="str">
        <f>IFERROR(__xludf.DUMMYFUNCTION("XLOOKUP(B504,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""-"")"),"9344689808")</f>
        <v>9344689808</v>
      </c>
      <c r="M504" s="14" t="s">
        <v>71</v>
      </c>
      <c r="N504" s="14" t="s">
        <v>801</v>
      </c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22"/>
      <c r="AA504" s="22"/>
      <c r="AB504" s="22"/>
      <c r="AC504" s="22"/>
      <c r="AD504" s="22"/>
    </row>
    <row r="505">
      <c r="A505" s="21">
        <v>504.0</v>
      </c>
      <c r="B505" s="32" t="s">
        <v>378</v>
      </c>
      <c r="C505" s="16" t="str">
        <f>IFERROR(__xludf.DUMMYFUNCTION("XLOOKUP(B505,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""-"")"),"PADMAPRAJESH S B")</f>
        <v>PADMAPRAJESH S B</v>
      </c>
      <c r="D505" s="17" t="str">
        <f>IFERROR(__xludf.DUMMYFUNCTION("XLOOKUP(B505,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05" s="33" t="s">
        <v>162</v>
      </c>
      <c r="F505" s="14">
        <v>3.0</v>
      </c>
      <c r="G505" s="14" t="s">
        <v>252</v>
      </c>
      <c r="H505" s="14"/>
      <c r="I505" s="14" t="s">
        <v>136</v>
      </c>
      <c r="J505" s="14" t="s">
        <v>99</v>
      </c>
      <c r="K505" s="17" t="str">
        <f>IFERROR(__xludf.DUMMYFUNCTION("XLOOKUP(B505,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""-"")"),"padmaprajeshsb.me23@bitsathy.ac.in")</f>
        <v>padmaprajeshsb.me23@bitsathy.ac.in</v>
      </c>
      <c r="L505" s="21" t="str">
        <f>IFERROR(__xludf.DUMMYFUNCTION("XLOOKUP(B505,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""-"")"),"7530061995")</f>
        <v>7530061995</v>
      </c>
      <c r="M505" s="14" t="s">
        <v>71</v>
      </c>
      <c r="N505" s="14" t="s">
        <v>801</v>
      </c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22"/>
      <c r="AA505" s="22"/>
      <c r="AB505" s="22"/>
      <c r="AC505" s="22"/>
      <c r="AD505" s="22"/>
    </row>
    <row r="506">
      <c r="A506" s="21">
        <v>505.0</v>
      </c>
      <c r="B506" s="32" t="s">
        <v>817</v>
      </c>
      <c r="C506" s="16" t="str">
        <f>IFERROR(__xludf.DUMMYFUNCTION("XLOOKUP(B506,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""-"")"),"SUDHARSAN R")</f>
        <v>SUDHARSAN R</v>
      </c>
      <c r="D506" s="17" t="str">
        <f>IFERROR(__xludf.DUMMYFUNCTION("XLOOKUP(B506,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06" s="33" t="s">
        <v>162</v>
      </c>
      <c r="F506" s="14">
        <v>3.0</v>
      </c>
      <c r="G506" s="14" t="s">
        <v>252</v>
      </c>
      <c r="H506" s="14"/>
      <c r="I506" s="14" t="s">
        <v>136</v>
      </c>
      <c r="J506" s="14" t="s">
        <v>99</v>
      </c>
      <c r="K506" s="17" t="str">
        <f>IFERROR(__xludf.DUMMYFUNCTION("XLOOKUP(B506,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""-"")"),"sudharsan.mz23@bitsathy.ac.in")</f>
        <v>sudharsan.mz23@bitsathy.ac.in</v>
      </c>
      <c r="L506" s="21" t="str">
        <f>IFERROR(__xludf.DUMMYFUNCTION("XLOOKUP(B506,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""-"")"),"6381293569")</f>
        <v>6381293569</v>
      </c>
      <c r="M506" s="14" t="s">
        <v>71</v>
      </c>
      <c r="N506" s="14" t="s">
        <v>801</v>
      </c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22"/>
      <c r="AA506" s="22"/>
      <c r="AB506" s="22"/>
      <c r="AC506" s="22"/>
      <c r="AD506" s="22"/>
    </row>
    <row r="507">
      <c r="A507" s="21">
        <v>506.0</v>
      </c>
      <c r="B507" s="32" t="s">
        <v>292</v>
      </c>
      <c r="C507" s="16" t="str">
        <f>IFERROR(__xludf.DUMMYFUNCTION("XLOOKUP(B507,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""-"")"),"HEMALASREE S")</f>
        <v>HEMALASREE S</v>
      </c>
      <c r="D507" s="17" t="str">
        <f>IFERROR(__xludf.DUMMYFUNCTION("XLOOKUP(B507,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07" s="33" t="s">
        <v>147</v>
      </c>
      <c r="F507" s="14">
        <v>3.6</v>
      </c>
      <c r="G507" s="14" t="s">
        <v>59</v>
      </c>
      <c r="H507" s="14"/>
      <c r="I507" s="14" t="s">
        <v>432</v>
      </c>
      <c r="J507" s="14" t="s">
        <v>266</v>
      </c>
      <c r="K507" s="17" t="str">
        <f>IFERROR(__xludf.DUMMYFUNCTION("XLOOKUP(B507,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""-"")"),"hemalasree.cs23@bitsathy.ac.in")</f>
        <v>hemalasree.cs23@bitsathy.ac.in</v>
      </c>
      <c r="L507" s="21" t="str">
        <f>IFERROR(__xludf.DUMMYFUNCTION("XLOOKUP(B507,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""-"")"),"9092952997")</f>
        <v>9092952997</v>
      </c>
      <c r="M507" s="14" t="s">
        <v>71</v>
      </c>
      <c r="N507" s="14" t="s">
        <v>801</v>
      </c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22"/>
      <c r="AA507" s="22"/>
      <c r="AB507" s="22"/>
      <c r="AC507" s="22"/>
      <c r="AD507" s="22"/>
    </row>
    <row r="508">
      <c r="A508" s="21">
        <v>507.0</v>
      </c>
      <c r="B508" s="32" t="s">
        <v>297</v>
      </c>
      <c r="C508" s="16" t="str">
        <f>IFERROR(__xludf.DUMMYFUNCTION("XLOOKUP(B508,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""-"")"),"NANDIDWAJ  R G")</f>
        <v>NANDIDWAJ  R G</v>
      </c>
      <c r="D508" s="17" t="str">
        <f>IFERROR(__xludf.DUMMYFUNCTION("XLOOKUP(B508,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08" s="33" t="s">
        <v>147</v>
      </c>
      <c r="F508" s="14">
        <v>3.6</v>
      </c>
      <c r="G508" s="14" t="s">
        <v>59</v>
      </c>
      <c r="H508" s="14"/>
      <c r="I508" s="14" t="s">
        <v>432</v>
      </c>
      <c r="J508" s="14" t="s">
        <v>266</v>
      </c>
      <c r="K508" s="17" t="str">
        <f>IFERROR(__xludf.DUMMYFUNCTION("XLOOKUP(B508,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""-"")"),"nandidwaj.ad23@bitsathy.ac.in")</f>
        <v>nandidwaj.ad23@bitsathy.ac.in</v>
      </c>
      <c r="L508" s="21" t="str">
        <f>IFERROR(__xludf.DUMMYFUNCTION("XLOOKUP(B508,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""-"")"),"9345903662")</f>
        <v>9345903662</v>
      </c>
      <c r="M508" s="14" t="s">
        <v>71</v>
      </c>
      <c r="N508" s="14" t="s">
        <v>801</v>
      </c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22"/>
      <c r="AA508" s="22"/>
      <c r="AB508" s="22"/>
      <c r="AC508" s="22"/>
      <c r="AD508" s="22"/>
    </row>
    <row r="509">
      <c r="A509" s="21">
        <v>508.0</v>
      </c>
      <c r="B509" s="32" t="s">
        <v>603</v>
      </c>
      <c r="C509" s="16" t="str">
        <f>IFERROR(__xludf.DUMMYFUNCTION("XLOOKUP(B509,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""-"")"),"KAVIPRIYA P")</f>
        <v>KAVIPRIYA P</v>
      </c>
      <c r="D509" s="17" t="str">
        <f>IFERROR(__xludf.DUMMYFUNCTION("XLOOKUP(B509,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09" s="33" t="s">
        <v>147</v>
      </c>
      <c r="F509" s="14">
        <v>3.6</v>
      </c>
      <c r="G509" s="14" t="s">
        <v>59</v>
      </c>
      <c r="H509" s="14"/>
      <c r="I509" s="14" t="s">
        <v>432</v>
      </c>
      <c r="J509" s="14" t="s">
        <v>266</v>
      </c>
      <c r="K509" s="17" t="str">
        <f>IFERROR(__xludf.DUMMYFUNCTION("XLOOKUP(B509,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""-"")"),"kavipriya.cb23@bitsathy.ac.in")</f>
        <v>kavipriya.cb23@bitsathy.ac.in</v>
      </c>
      <c r="L509" s="21" t="str">
        <f>IFERROR(__xludf.DUMMYFUNCTION("XLOOKUP(B509,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""-"")"),"9585822642")</f>
        <v>9585822642</v>
      </c>
      <c r="M509" s="14" t="s">
        <v>71</v>
      </c>
      <c r="N509" s="14" t="s">
        <v>801</v>
      </c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22"/>
      <c r="AA509" s="22"/>
      <c r="AB509" s="22"/>
      <c r="AC509" s="22"/>
      <c r="AD509" s="22"/>
    </row>
    <row r="510">
      <c r="A510" s="21">
        <v>509.0</v>
      </c>
      <c r="B510" s="32" t="s">
        <v>818</v>
      </c>
      <c r="C510" s="16" t="str">
        <f>IFERROR(__xludf.DUMMYFUNCTION("XLOOKUP(B510,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""-"")"),"HARISH KUMAR S")</f>
        <v>HARISH KUMAR S</v>
      </c>
      <c r="D510" s="17" t="str">
        <f>IFERROR(__xludf.DUMMYFUNCTION("XLOOKUP(B510,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10" s="33" t="s">
        <v>121</v>
      </c>
      <c r="F510" s="14">
        <v>5.5</v>
      </c>
      <c r="G510" s="14" t="s">
        <v>252</v>
      </c>
      <c r="H510" s="14"/>
      <c r="I510" s="14" t="s">
        <v>136</v>
      </c>
      <c r="J510" s="14" t="s">
        <v>266</v>
      </c>
      <c r="K510" s="17" t="str">
        <f>IFERROR(__xludf.DUMMYFUNCTION("XLOOKUP(B510,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""-"")"),"harishkumar.ec23@bitsathy.ac.in")</f>
        <v>harishkumar.ec23@bitsathy.ac.in</v>
      </c>
      <c r="L510" s="21" t="str">
        <f>IFERROR(__xludf.DUMMYFUNCTION("XLOOKUP(B510,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""-"")"),"6374646745")</f>
        <v>6374646745</v>
      </c>
      <c r="M510" s="14" t="s">
        <v>71</v>
      </c>
      <c r="N510" s="14" t="s">
        <v>819</v>
      </c>
      <c r="O510" s="34"/>
      <c r="P510" s="34"/>
      <c r="Q510" s="34"/>
      <c r="R510" s="34"/>
      <c r="S510" s="34"/>
      <c r="T510" s="34"/>
      <c r="U510" s="34"/>
      <c r="V510" s="35" t="s">
        <v>820</v>
      </c>
      <c r="W510" s="34"/>
      <c r="X510" s="34"/>
      <c r="Y510" s="34"/>
      <c r="Z510" s="22"/>
      <c r="AA510" s="22"/>
      <c r="AB510" s="22"/>
      <c r="AC510" s="22"/>
      <c r="AD510" s="22"/>
    </row>
    <row r="511">
      <c r="A511" s="21">
        <v>510.0</v>
      </c>
      <c r="B511" s="32" t="s">
        <v>821</v>
      </c>
      <c r="C511" s="16" t="str">
        <f>IFERROR(__xludf.DUMMYFUNCTION("XLOOKUP(B511,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""-"")"),"JAYASWAROOPA  S M")</f>
        <v>JAYASWAROOPA  S M</v>
      </c>
      <c r="D511" s="17" t="str">
        <f>IFERROR(__xludf.DUMMYFUNCTION("XLOOKUP(B511,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11" s="33" t="s">
        <v>121</v>
      </c>
      <c r="F511" s="14">
        <v>5.5</v>
      </c>
      <c r="G511" s="14" t="s">
        <v>252</v>
      </c>
      <c r="H511" s="14"/>
      <c r="I511" s="14" t="s">
        <v>136</v>
      </c>
      <c r="J511" s="14" t="s">
        <v>266</v>
      </c>
      <c r="K511" s="17" t="str">
        <f>IFERROR(__xludf.DUMMYFUNCTION("XLOOKUP(B511,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""-"")"),"jayaswaroopa.ec23@bitsathy.ac.in")</f>
        <v>jayaswaroopa.ec23@bitsathy.ac.in</v>
      </c>
      <c r="L511" s="21" t="str">
        <f>IFERROR(__xludf.DUMMYFUNCTION("XLOOKUP(B511,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""-"")"),"9360974247")</f>
        <v>9360974247</v>
      </c>
      <c r="M511" s="14" t="s">
        <v>71</v>
      </c>
      <c r="N511" s="14" t="s">
        <v>819</v>
      </c>
      <c r="O511" s="34"/>
      <c r="P511" s="34"/>
      <c r="Q511" s="34"/>
      <c r="R511" s="34"/>
      <c r="S511" s="34"/>
      <c r="T511" s="34"/>
      <c r="U511" s="34"/>
      <c r="V511" s="35" t="s">
        <v>822</v>
      </c>
      <c r="W511" s="34"/>
      <c r="X511" s="34"/>
      <c r="Y511" s="34"/>
      <c r="Z511" s="22"/>
      <c r="AA511" s="22"/>
      <c r="AB511" s="22"/>
      <c r="AC511" s="22"/>
      <c r="AD511" s="22"/>
    </row>
    <row r="512">
      <c r="A512" s="21">
        <v>511.0</v>
      </c>
      <c r="B512" s="32" t="s">
        <v>823</v>
      </c>
      <c r="C512" s="16" t="str">
        <f>IFERROR(__xludf.DUMMYFUNCTION("XLOOKUP(B512,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""-"")"),"JEYA PRASANNA S")</f>
        <v>JEYA PRASANNA S</v>
      </c>
      <c r="D512" s="17" t="str">
        <f>IFERROR(__xludf.DUMMYFUNCTION("XLOOKUP(B512,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12" s="33" t="s">
        <v>121</v>
      </c>
      <c r="F512" s="14">
        <v>5.5</v>
      </c>
      <c r="G512" s="14" t="s">
        <v>252</v>
      </c>
      <c r="H512" s="14"/>
      <c r="I512" s="14" t="s">
        <v>136</v>
      </c>
      <c r="J512" s="14" t="s">
        <v>266</v>
      </c>
      <c r="K512" s="17" t="str">
        <f>IFERROR(__xludf.DUMMYFUNCTION("XLOOKUP(B512,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""-"")"),"jeyaprasanna.ec23@bitsathy.ac.in")</f>
        <v>jeyaprasanna.ec23@bitsathy.ac.in</v>
      </c>
      <c r="L512" s="21" t="str">
        <f>IFERROR(__xludf.DUMMYFUNCTION("XLOOKUP(B512,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""-"")"),"9025508268")</f>
        <v>9025508268</v>
      </c>
      <c r="M512" s="14" t="s">
        <v>71</v>
      </c>
      <c r="N512" s="14" t="s">
        <v>819</v>
      </c>
      <c r="O512" s="34"/>
      <c r="P512" s="34"/>
      <c r="Q512" s="34"/>
      <c r="R512" s="34"/>
      <c r="S512" s="34"/>
      <c r="T512" s="34"/>
      <c r="U512" s="34"/>
      <c r="V512" s="35" t="s">
        <v>824</v>
      </c>
      <c r="W512" s="34"/>
      <c r="X512" s="34"/>
      <c r="Y512" s="34"/>
      <c r="Z512" s="22"/>
      <c r="AA512" s="22"/>
      <c r="AB512" s="22"/>
      <c r="AC512" s="22"/>
      <c r="AD512" s="22"/>
    </row>
    <row r="513">
      <c r="A513" s="21">
        <v>512.0</v>
      </c>
      <c r="B513" s="32" t="s">
        <v>825</v>
      </c>
      <c r="C513" s="16" t="str">
        <f>IFERROR(__xludf.DUMMYFUNCTION("XLOOKUP(B513,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""-"")"),"PRADEEPRAJ R")</f>
        <v>PRADEEPRAJ R</v>
      </c>
      <c r="D513" s="17" t="str">
        <f>IFERROR(__xludf.DUMMYFUNCTION("XLOOKUP(B513,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13" s="33" t="s">
        <v>121</v>
      </c>
      <c r="F513" s="14">
        <v>5.5</v>
      </c>
      <c r="G513" s="14" t="s">
        <v>252</v>
      </c>
      <c r="H513" s="14"/>
      <c r="I513" s="14" t="s">
        <v>136</v>
      </c>
      <c r="J513" s="14" t="s">
        <v>266</v>
      </c>
      <c r="K513" s="17" t="str">
        <f>IFERROR(__xludf.DUMMYFUNCTION("XLOOKUP(B513,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""-"")"),"pradeepraj.ec23@bitsathy.ac.in")</f>
        <v>pradeepraj.ec23@bitsathy.ac.in</v>
      </c>
      <c r="L513" s="21" t="str">
        <f>IFERROR(__xludf.DUMMYFUNCTION("XLOOKUP(B513,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""-"")"),"9025679229")</f>
        <v>9025679229</v>
      </c>
      <c r="M513" s="14" t="s">
        <v>71</v>
      </c>
      <c r="N513" s="14" t="s">
        <v>819</v>
      </c>
      <c r="O513" s="34"/>
      <c r="P513" s="34"/>
      <c r="Q513" s="34"/>
      <c r="R513" s="34"/>
      <c r="S513" s="34"/>
      <c r="T513" s="34"/>
      <c r="U513" s="34"/>
      <c r="V513" s="35" t="s">
        <v>826</v>
      </c>
      <c r="W513" s="34"/>
      <c r="X513" s="34"/>
      <c r="Y513" s="34"/>
      <c r="Z513" s="22"/>
      <c r="AA513" s="22"/>
      <c r="AB513" s="22"/>
      <c r="AC513" s="22"/>
      <c r="AD513" s="22"/>
    </row>
    <row r="514">
      <c r="A514" s="21">
        <v>513.0</v>
      </c>
      <c r="B514" s="32" t="s">
        <v>827</v>
      </c>
      <c r="C514" s="16" t="str">
        <f>IFERROR(__xludf.DUMMYFUNCTION("XLOOKUP(B514,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""-"")"),"PRAKADEESH N")</f>
        <v>PRAKADEESH N</v>
      </c>
      <c r="D514" s="17" t="str">
        <f>IFERROR(__xludf.DUMMYFUNCTION("XLOOKUP(B514,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14" s="33" t="s">
        <v>121</v>
      </c>
      <c r="F514" s="14">
        <v>5.5</v>
      </c>
      <c r="G514" s="14" t="s">
        <v>252</v>
      </c>
      <c r="H514" s="14"/>
      <c r="I514" s="14" t="s">
        <v>136</v>
      </c>
      <c r="J514" s="14" t="s">
        <v>266</v>
      </c>
      <c r="K514" s="17" t="str">
        <f>IFERROR(__xludf.DUMMYFUNCTION("XLOOKUP(B514,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""-"")"),"prakadeesh.ec23@bitsathy.ac.in")</f>
        <v>prakadeesh.ec23@bitsathy.ac.in</v>
      </c>
      <c r="L514" s="21" t="str">
        <f>IFERROR(__xludf.DUMMYFUNCTION("XLOOKUP(B514,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""-"")"),"9345216055")</f>
        <v>9345216055</v>
      </c>
      <c r="M514" s="14" t="s">
        <v>71</v>
      </c>
      <c r="N514" s="14" t="s">
        <v>819</v>
      </c>
      <c r="O514" s="34"/>
      <c r="P514" s="34"/>
      <c r="Q514" s="34"/>
      <c r="R514" s="34"/>
      <c r="S514" s="34"/>
      <c r="T514" s="34"/>
      <c r="U514" s="34"/>
      <c r="V514" s="35" t="s">
        <v>828</v>
      </c>
      <c r="W514" s="34"/>
      <c r="X514" s="34"/>
      <c r="Y514" s="34"/>
      <c r="Z514" s="22"/>
      <c r="AA514" s="22"/>
      <c r="AB514" s="22"/>
      <c r="AC514" s="22"/>
      <c r="AD514" s="22"/>
    </row>
    <row r="515">
      <c r="A515" s="21">
        <v>514.0</v>
      </c>
      <c r="B515" s="32" t="s">
        <v>829</v>
      </c>
      <c r="C515" s="16" t="str">
        <f>IFERROR(__xludf.DUMMYFUNCTION("XLOOKUP(B515,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""-"")"),"DARSHANA R")</f>
        <v>DARSHANA R</v>
      </c>
      <c r="D515" s="17" t="str">
        <f>IFERROR(__xludf.DUMMYFUNCTION("XLOOKUP(B515,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15" s="33" t="s">
        <v>121</v>
      </c>
      <c r="F515" s="14">
        <v>5.5</v>
      </c>
      <c r="G515" s="14" t="s">
        <v>252</v>
      </c>
      <c r="H515" s="14"/>
      <c r="I515" s="14" t="s">
        <v>136</v>
      </c>
      <c r="J515" s="14" t="s">
        <v>266</v>
      </c>
      <c r="K515" s="17" t="str">
        <f>IFERROR(__xludf.DUMMYFUNCTION("XLOOKUP(B515,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""-"")"),"darshanaramesh.ad23@bitsathy.ac.in")</f>
        <v>darshanaramesh.ad23@bitsathy.ac.in</v>
      </c>
      <c r="L515" s="21" t="str">
        <f>IFERROR(__xludf.DUMMYFUNCTION("XLOOKUP(B515,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""-"")"),"9976583100")</f>
        <v>9976583100</v>
      </c>
      <c r="M515" s="14" t="s">
        <v>71</v>
      </c>
      <c r="N515" s="14" t="s">
        <v>819</v>
      </c>
      <c r="O515" s="34"/>
      <c r="P515" s="34"/>
      <c r="Q515" s="34"/>
      <c r="R515" s="34"/>
      <c r="S515" s="34"/>
      <c r="T515" s="34"/>
      <c r="U515" s="34"/>
      <c r="V515" s="35" t="s">
        <v>830</v>
      </c>
      <c r="W515" s="34"/>
      <c r="X515" s="34"/>
      <c r="Y515" s="34"/>
      <c r="Z515" s="22"/>
      <c r="AA515" s="22"/>
      <c r="AB515" s="22"/>
      <c r="AC515" s="22"/>
      <c r="AD515" s="22"/>
    </row>
    <row r="516">
      <c r="A516" s="21">
        <v>515.0</v>
      </c>
      <c r="B516" s="32" t="s">
        <v>831</v>
      </c>
      <c r="C516" s="16" t="str">
        <f>IFERROR(__xludf.DUMMYFUNCTION("XLOOKUP(B516,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""-"")"),"SIVAPRASATH K")</f>
        <v>SIVAPRASATH K</v>
      </c>
      <c r="D516" s="17" t="str">
        <f>IFERROR(__xludf.DUMMYFUNCTION("XLOOKUP(B516,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516" s="33" t="s">
        <v>121</v>
      </c>
      <c r="F516" s="14">
        <v>5.5</v>
      </c>
      <c r="G516" s="14" t="s">
        <v>252</v>
      </c>
      <c r="H516" s="14"/>
      <c r="I516" s="14" t="s">
        <v>136</v>
      </c>
      <c r="J516" s="14" t="s">
        <v>266</v>
      </c>
      <c r="K516" s="17" t="str">
        <f>IFERROR(__xludf.DUMMYFUNCTION("XLOOKUP(B516,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""-"")"),"sivaprasath.al23@bitsathy.ac.in")</f>
        <v>sivaprasath.al23@bitsathy.ac.in</v>
      </c>
      <c r="L516" s="21" t="str">
        <f>IFERROR(__xludf.DUMMYFUNCTION("XLOOKUP(B516,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""-"")"),"9363167668")</f>
        <v>9363167668</v>
      </c>
      <c r="M516" s="14" t="s">
        <v>71</v>
      </c>
      <c r="N516" s="14" t="s">
        <v>819</v>
      </c>
      <c r="O516" s="34"/>
      <c r="P516" s="34"/>
      <c r="Q516" s="34"/>
      <c r="R516" s="34"/>
      <c r="S516" s="34"/>
      <c r="T516" s="34"/>
      <c r="U516" s="34"/>
      <c r="V516" s="35" t="s">
        <v>832</v>
      </c>
      <c r="W516" s="34"/>
      <c r="X516" s="34"/>
      <c r="Y516" s="34"/>
      <c r="Z516" s="22"/>
      <c r="AA516" s="22"/>
      <c r="AB516" s="22"/>
      <c r="AC516" s="22"/>
      <c r="AD516" s="22"/>
    </row>
    <row r="517">
      <c r="A517" s="21">
        <v>516.0</v>
      </c>
      <c r="B517" s="32" t="s">
        <v>833</v>
      </c>
      <c r="C517" s="16" t="str">
        <f>IFERROR(__xludf.DUMMYFUNCTION("XLOOKUP(B517,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""-"")"),"JHOSPIN  D")</f>
        <v>JHOSPIN  D</v>
      </c>
      <c r="D517" s="17" t="str">
        <f>IFERROR(__xludf.DUMMYFUNCTION("XLOOKUP(B517,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517" s="33" t="s">
        <v>187</v>
      </c>
      <c r="F517" s="14">
        <v>3.0</v>
      </c>
      <c r="G517" s="14" t="s">
        <v>59</v>
      </c>
      <c r="H517" s="14"/>
      <c r="I517" s="14" t="s">
        <v>136</v>
      </c>
      <c r="J517" s="14" t="s">
        <v>63</v>
      </c>
      <c r="K517" s="17" t="str">
        <f>IFERROR(__xludf.DUMMYFUNCTION("XLOOKUP(B517,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""-"")"),"jhospin.ft23@bitsathy.ac.in")</f>
        <v>jhospin.ft23@bitsathy.ac.in</v>
      </c>
      <c r="L517" s="21" t="str">
        <f>IFERROR(__xludf.DUMMYFUNCTION("XLOOKUP(B517,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""-"")"),"8248496387")</f>
        <v>8248496387</v>
      </c>
      <c r="M517" s="14" t="s">
        <v>420</v>
      </c>
      <c r="N517" s="14" t="s">
        <v>819</v>
      </c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5" t="s">
        <v>834</v>
      </c>
      <c r="Z517" s="22"/>
      <c r="AA517" s="22"/>
      <c r="AB517" s="22"/>
      <c r="AC517" s="22"/>
      <c r="AD517" s="22"/>
    </row>
    <row r="518">
      <c r="A518" s="21">
        <v>517.0</v>
      </c>
      <c r="B518" s="32" t="s">
        <v>835</v>
      </c>
      <c r="C518" s="16" t="str">
        <f>IFERROR(__xludf.DUMMYFUNCTION("XLOOKUP(B518,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""-"")"),"KEERTHIKA S")</f>
        <v>KEERTHIKA S</v>
      </c>
      <c r="D518" s="17" t="str">
        <f>IFERROR(__xludf.DUMMYFUNCTION("XLOOKUP(B518,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518" s="33" t="s">
        <v>187</v>
      </c>
      <c r="F518" s="14">
        <v>3.0</v>
      </c>
      <c r="G518" s="14" t="s">
        <v>59</v>
      </c>
      <c r="H518" s="14"/>
      <c r="I518" s="14" t="s">
        <v>136</v>
      </c>
      <c r="J518" s="14" t="s">
        <v>63</v>
      </c>
      <c r="K518" s="17" t="str">
        <f>IFERROR(__xludf.DUMMYFUNCTION("XLOOKUP(B518,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""-"")"),"keerthikas.ft23@bitsathy.ac.in")</f>
        <v>keerthikas.ft23@bitsathy.ac.in</v>
      </c>
      <c r="L518" s="21" t="str">
        <f>IFERROR(__xludf.DUMMYFUNCTION("XLOOKUP(B518,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""-"")"),"6383025415")</f>
        <v>6383025415</v>
      </c>
      <c r="M518" s="14" t="s">
        <v>420</v>
      </c>
      <c r="N518" s="14" t="s">
        <v>819</v>
      </c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5" t="s">
        <v>836</v>
      </c>
      <c r="Z518" s="22"/>
      <c r="AA518" s="22"/>
      <c r="AB518" s="22"/>
      <c r="AC518" s="22"/>
      <c r="AD518" s="22"/>
    </row>
    <row r="519">
      <c r="A519" s="21">
        <v>518.0</v>
      </c>
      <c r="B519" s="32" t="s">
        <v>837</v>
      </c>
      <c r="C519" s="16" t="str">
        <f>IFERROR(__xludf.DUMMYFUNCTION("XLOOKUP(B519,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""-"")"),"POOJA S")</f>
        <v>POOJA S</v>
      </c>
      <c r="D519" s="17" t="str">
        <f>IFERROR(__xludf.DUMMYFUNCTION("XLOOKUP(B519,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519" s="33" t="s">
        <v>187</v>
      </c>
      <c r="F519" s="14">
        <v>3.0</v>
      </c>
      <c r="G519" s="14" t="s">
        <v>59</v>
      </c>
      <c r="H519" s="14"/>
      <c r="I519" s="14" t="s">
        <v>136</v>
      </c>
      <c r="J519" s="14" t="s">
        <v>63</v>
      </c>
      <c r="K519" s="17" t="str">
        <f>IFERROR(__xludf.DUMMYFUNCTION("XLOOKUP(B519,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""-"")"),"pooja.ft23@bitsathy.ac.in")</f>
        <v>pooja.ft23@bitsathy.ac.in</v>
      </c>
      <c r="L519" s="21" t="str">
        <f>IFERROR(__xludf.DUMMYFUNCTION("XLOOKUP(B519,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""-"")"),"6380284221")</f>
        <v>6380284221</v>
      </c>
      <c r="M519" s="14" t="s">
        <v>420</v>
      </c>
      <c r="N519" s="14" t="s">
        <v>819</v>
      </c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5" t="s">
        <v>838</v>
      </c>
      <c r="Z519" s="22"/>
      <c r="AA519" s="22"/>
      <c r="AB519" s="22"/>
      <c r="AC519" s="22"/>
      <c r="AD519" s="22"/>
    </row>
    <row r="520">
      <c r="A520" s="21">
        <v>519.0</v>
      </c>
      <c r="B520" s="54" t="s">
        <v>839</v>
      </c>
      <c r="C520" s="16" t="str">
        <f>IFERROR(__xludf.DUMMYFUNCTION("XLOOKUP(B520,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""-"")"),"NASHREEN BANU S")</f>
        <v>NASHREEN BANU S</v>
      </c>
      <c r="D520" s="17" t="str">
        <f>IFERROR(__xludf.DUMMYFUNCTION("XLOOKUP(B520,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""-"")"),"FASHION TECHNOLOGY")</f>
        <v>FASHION TECHNOLOGY</v>
      </c>
      <c r="E520" s="33" t="s">
        <v>144</v>
      </c>
      <c r="F520" s="14">
        <v>3.0</v>
      </c>
      <c r="G520" s="14" t="s">
        <v>59</v>
      </c>
      <c r="H520" s="14"/>
      <c r="I520" s="14" t="s">
        <v>136</v>
      </c>
      <c r="J520" s="14" t="s">
        <v>63</v>
      </c>
      <c r="K520" s="17" t="str">
        <f>IFERROR(__xludf.DUMMYFUNCTION("XLOOKUP(B520,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""-"")"),"nashreenbanu.ft23@bitsathy.ac.in")</f>
        <v>nashreenbanu.ft23@bitsathy.ac.in</v>
      </c>
      <c r="L520" s="21" t="str">
        <f>IFERROR(__xludf.DUMMYFUNCTION("XLOOKUP(B520,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""-"")"),"7708354202")</f>
        <v>7708354202</v>
      </c>
      <c r="M520" s="14" t="s">
        <v>420</v>
      </c>
      <c r="N520" s="14" t="s">
        <v>819</v>
      </c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5" t="s">
        <v>840</v>
      </c>
      <c r="Z520" s="22"/>
      <c r="AA520" s="22"/>
      <c r="AB520" s="22"/>
      <c r="AC520" s="22"/>
      <c r="AD520" s="22"/>
    </row>
    <row r="521">
      <c r="A521" s="21">
        <v>520.0</v>
      </c>
      <c r="B521" s="32" t="s">
        <v>841</v>
      </c>
      <c r="C521" s="16" t="str">
        <f>IFERROR(__xludf.DUMMYFUNCTION("XLOOKUP(B521,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""-"")"),"SWATHI A U")</f>
        <v>SWATHI A U</v>
      </c>
      <c r="D521" s="17" t="str">
        <f>IFERROR(__xludf.DUMMYFUNCTION("XLOOKUP(B521,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21" s="33" t="s">
        <v>94</v>
      </c>
      <c r="F521" s="14">
        <v>4.0</v>
      </c>
      <c r="G521" s="14" t="s">
        <v>59</v>
      </c>
      <c r="H521" s="14"/>
      <c r="I521" s="14" t="s">
        <v>432</v>
      </c>
      <c r="J521" s="14" t="s">
        <v>266</v>
      </c>
      <c r="K521" s="17" t="str">
        <f>IFERROR(__xludf.DUMMYFUNCTION("XLOOKUP(B521,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""-"")"),"swathi.bt23@bitsathy.ac.in")</f>
        <v>swathi.bt23@bitsathy.ac.in</v>
      </c>
      <c r="L521" s="21" t="str">
        <f>IFERROR(__xludf.DUMMYFUNCTION("XLOOKUP(B521,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""-"")"),"9123549198")</f>
        <v>9123549198</v>
      </c>
      <c r="M521" s="14" t="s">
        <v>71</v>
      </c>
      <c r="N521" s="14" t="s">
        <v>842</v>
      </c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22"/>
      <c r="AA521" s="22"/>
      <c r="AB521" s="22"/>
      <c r="AC521" s="22"/>
      <c r="AD521" s="22"/>
    </row>
    <row r="522">
      <c r="A522" s="21">
        <v>521.0</v>
      </c>
      <c r="B522" s="32" t="s">
        <v>843</v>
      </c>
      <c r="C522" s="16" t="str">
        <f>IFERROR(__xludf.DUMMYFUNCTION("XLOOKUP(B522,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""-"")"),"DHURAI MURUGAN B")</f>
        <v>DHURAI MURUGAN B</v>
      </c>
      <c r="D522" s="17" t="str">
        <f>IFERROR(__xludf.DUMMYFUNCTION("XLOOKUP(B522,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22" s="33" t="s">
        <v>94</v>
      </c>
      <c r="F522" s="14">
        <v>4.0</v>
      </c>
      <c r="G522" s="14" t="s">
        <v>252</v>
      </c>
      <c r="H522" s="14"/>
      <c r="I522" s="14" t="s">
        <v>432</v>
      </c>
      <c r="J522" s="14" t="s">
        <v>99</v>
      </c>
      <c r="K522" s="17" t="str">
        <f>IFERROR(__xludf.DUMMYFUNCTION("XLOOKUP(B522,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""-"")"),"dhuraimurugan.cb23@bitsathy.ac.in")</f>
        <v>dhuraimurugan.cb23@bitsathy.ac.in</v>
      </c>
      <c r="L522" s="21" t="str">
        <f>IFERROR(__xludf.DUMMYFUNCTION("XLOOKUP(B522,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""-"")"),"9345995833")</f>
        <v>9345995833</v>
      </c>
      <c r="M522" s="14" t="s">
        <v>71</v>
      </c>
      <c r="N522" s="14" t="s">
        <v>842</v>
      </c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22"/>
      <c r="AA522" s="22"/>
      <c r="AB522" s="22"/>
      <c r="AC522" s="22"/>
      <c r="AD522" s="22"/>
    </row>
    <row r="523">
      <c r="A523" s="21">
        <v>522.0</v>
      </c>
      <c r="B523" s="32" t="s">
        <v>844</v>
      </c>
      <c r="C523" s="16" t="str">
        <f>IFERROR(__xludf.DUMMYFUNCTION("XLOOKUP(B523,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""-"")"),"HARSITA S")</f>
        <v>HARSITA S</v>
      </c>
      <c r="D523" s="17" t="str">
        <f>IFERROR(__xludf.DUMMYFUNCTION("XLOOKUP(B523,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23" s="33" t="s">
        <v>94</v>
      </c>
      <c r="F523" s="14">
        <v>4.0</v>
      </c>
      <c r="G523" s="14" t="s">
        <v>59</v>
      </c>
      <c r="H523" s="14"/>
      <c r="I523" s="14" t="s">
        <v>432</v>
      </c>
      <c r="J523" s="14" t="s">
        <v>266</v>
      </c>
      <c r="K523" s="17" t="str">
        <f>IFERROR(__xludf.DUMMYFUNCTION("XLOOKUP(B523,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""-"")"),"harsita.cb23@bitsathy.ac.in")</f>
        <v>harsita.cb23@bitsathy.ac.in</v>
      </c>
      <c r="L523" s="21" t="str">
        <f>IFERROR(__xludf.DUMMYFUNCTION("XLOOKUP(B523,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""-"")"),"7826834624")</f>
        <v>7826834624</v>
      </c>
      <c r="M523" s="14" t="s">
        <v>71</v>
      </c>
      <c r="N523" s="14" t="s">
        <v>842</v>
      </c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22"/>
      <c r="AA523" s="22"/>
      <c r="AB523" s="22"/>
      <c r="AC523" s="22"/>
      <c r="AD523" s="22"/>
    </row>
    <row r="524">
      <c r="A524" s="21">
        <v>523.0</v>
      </c>
      <c r="B524" s="32" t="s">
        <v>845</v>
      </c>
      <c r="C524" s="16" t="str">
        <f>IFERROR(__xludf.DUMMYFUNCTION("XLOOKUP(B524,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""-"")"),"KALKI S")</f>
        <v>KALKI S</v>
      </c>
      <c r="D524" s="17" t="str">
        <f>IFERROR(__xludf.DUMMYFUNCTION("XLOOKUP(B524,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24" s="33" t="s">
        <v>94</v>
      </c>
      <c r="F524" s="14">
        <v>4.0</v>
      </c>
      <c r="G524" s="14" t="s">
        <v>59</v>
      </c>
      <c r="H524" s="14"/>
      <c r="I524" s="14" t="s">
        <v>432</v>
      </c>
      <c r="J524" s="14" t="s">
        <v>266</v>
      </c>
      <c r="K524" s="17" t="str">
        <f>IFERROR(__xludf.DUMMYFUNCTION("XLOOKUP(B524,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""-"")"),"kalki.cs23@bitsathy.ac.in")</f>
        <v>kalki.cs23@bitsathy.ac.in</v>
      </c>
      <c r="L524" s="21" t="str">
        <f>IFERROR(__xludf.DUMMYFUNCTION("XLOOKUP(B524,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""-"")"),"9342056455")</f>
        <v>9342056455</v>
      </c>
      <c r="M524" s="14" t="s">
        <v>71</v>
      </c>
      <c r="N524" s="14" t="s">
        <v>842</v>
      </c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22"/>
      <c r="AA524" s="22"/>
      <c r="AB524" s="22"/>
      <c r="AC524" s="22"/>
      <c r="AD524" s="22"/>
    </row>
    <row r="525">
      <c r="A525" s="21">
        <v>524.0</v>
      </c>
      <c r="B525" s="32" t="s">
        <v>846</v>
      </c>
      <c r="C525" s="16" t="str">
        <f>IFERROR(__xludf.DUMMYFUNCTION("XLOOKUP(B525,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""-"")"),"ABISHAKE  B")</f>
        <v>ABISHAKE  B</v>
      </c>
      <c r="D525" s="17" t="str">
        <f>IFERROR(__xludf.DUMMYFUNCTION("XLOOKUP(B525,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25" s="33" t="s">
        <v>94</v>
      </c>
      <c r="F525" s="14">
        <v>4.0</v>
      </c>
      <c r="G525" s="14" t="s">
        <v>59</v>
      </c>
      <c r="H525" s="14"/>
      <c r="I525" s="14" t="s">
        <v>432</v>
      </c>
      <c r="J525" s="14" t="s">
        <v>266</v>
      </c>
      <c r="K525" s="17" t="str">
        <f>IFERROR(__xludf.DUMMYFUNCTION("XLOOKUP(B525,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""-"")"),"abishake.it23@bitsathy.ac.in")</f>
        <v>abishake.it23@bitsathy.ac.in</v>
      </c>
      <c r="L525" s="21" t="str">
        <f>IFERROR(__xludf.DUMMYFUNCTION("XLOOKUP(B525,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""-"")"),"9363685979")</f>
        <v>9363685979</v>
      </c>
      <c r="M525" s="14" t="s">
        <v>71</v>
      </c>
      <c r="N525" s="14" t="s">
        <v>842</v>
      </c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22"/>
      <c r="AA525" s="22"/>
      <c r="AB525" s="22"/>
      <c r="AC525" s="22"/>
      <c r="AD525" s="22"/>
    </row>
    <row r="526">
      <c r="A526" s="21">
        <v>525.0</v>
      </c>
      <c r="B526" s="32" t="s">
        <v>847</v>
      </c>
      <c r="C526" s="16" t="str">
        <f>IFERROR(__xludf.DUMMYFUNCTION("XLOOKUP(B526,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""-"")"),"SIVAKUMAR P")</f>
        <v>SIVAKUMAR P</v>
      </c>
      <c r="D526" s="17" t="str">
        <f>IFERROR(__xludf.DUMMYFUNCTION("XLOOKUP(B526,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26" s="33" t="s">
        <v>152</v>
      </c>
      <c r="F526" s="14">
        <v>3.0</v>
      </c>
      <c r="G526" s="14" t="s">
        <v>59</v>
      </c>
      <c r="H526" s="14"/>
      <c r="I526" s="14" t="s">
        <v>432</v>
      </c>
      <c r="J526" s="14" t="s">
        <v>63</v>
      </c>
      <c r="K526" s="17" t="str">
        <f>IFERROR(__xludf.DUMMYFUNCTION("XLOOKUP(B526,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""-"")"),"sivakumar.cs23@bitsathy.ac.in")</f>
        <v>sivakumar.cs23@bitsathy.ac.in</v>
      </c>
      <c r="L526" s="21" t="str">
        <f>IFERROR(__xludf.DUMMYFUNCTION("XLOOKUP(B526,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""-"")"),"6369692808")</f>
        <v>6369692808</v>
      </c>
      <c r="M526" s="14" t="s">
        <v>71</v>
      </c>
      <c r="N526" s="14" t="s">
        <v>848</v>
      </c>
      <c r="O526" s="14" t="s">
        <v>757</v>
      </c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22"/>
      <c r="AA526" s="22"/>
      <c r="AB526" s="22"/>
      <c r="AC526" s="22"/>
      <c r="AD526" s="22"/>
    </row>
    <row r="527">
      <c r="A527" s="21">
        <v>526.0</v>
      </c>
      <c r="B527" s="32" t="s">
        <v>849</v>
      </c>
      <c r="C527" s="16" t="str">
        <f>IFERROR(__xludf.DUMMYFUNCTION("XLOOKUP(B527,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""-"")"),"HARIHARAN  P S")</f>
        <v>HARIHARAN  P S</v>
      </c>
      <c r="D527" s="17" t="str">
        <f>IFERROR(__xludf.DUMMYFUNCTION("XLOOKUP(B527,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27" s="33" t="s">
        <v>150</v>
      </c>
      <c r="F527" s="41">
        <v>3.5</v>
      </c>
      <c r="G527" s="14" t="s">
        <v>59</v>
      </c>
      <c r="H527" s="14" t="s">
        <v>60</v>
      </c>
      <c r="I527" s="14" t="s">
        <v>136</v>
      </c>
      <c r="J527" s="14" t="s">
        <v>63</v>
      </c>
      <c r="K527" s="17" t="str">
        <f>IFERROR(__xludf.DUMMYFUNCTION("XLOOKUP(B527,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""-"")"),"hariharan.ec23@bitsathy.ac.in")</f>
        <v>hariharan.ec23@bitsathy.ac.in</v>
      </c>
      <c r="L527" s="21" t="str">
        <f>IFERROR(__xludf.DUMMYFUNCTION("XLOOKUP(B527,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""-"")"),"6381630945")</f>
        <v>6381630945</v>
      </c>
      <c r="M527" s="14" t="s">
        <v>71</v>
      </c>
      <c r="N527" s="14" t="s">
        <v>848</v>
      </c>
      <c r="O527" s="14" t="s">
        <v>293</v>
      </c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22"/>
      <c r="AA527" s="22"/>
      <c r="AB527" s="22"/>
      <c r="AC527" s="22"/>
      <c r="AD527" s="22"/>
    </row>
    <row r="528">
      <c r="A528" s="21">
        <v>527.0</v>
      </c>
      <c r="B528" s="32" t="s">
        <v>850</v>
      </c>
      <c r="C528" s="16" t="str">
        <f>IFERROR(__xludf.DUMMYFUNCTION("XLOOKUP(B528,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""-"")"),"SANJAY M")</f>
        <v>SANJAY M</v>
      </c>
      <c r="D528" s="17" t="str">
        <f>IFERROR(__xludf.DUMMYFUNCTION("XLOOKUP(B528,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28" s="33" t="s">
        <v>109</v>
      </c>
      <c r="F528" s="41">
        <v>3.6</v>
      </c>
      <c r="G528" s="14" t="s">
        <v>59</v>
      </c>
      <c r="H528" s="14" t="s">
        <v>60</v>
      </c>
      <c r="I528" s="14" t="s">
        <v>432</v>
      </c>
      <c r="J528" s="14" t="s">
        <v>63</v>
      </c>
      <c r="K528" s="17" t="str">
        <f>IFERROR(__xludf.DUMMYFUNCTION("XLOOKUP(B528,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""-"")"),"sanjaym.ad23@bitsathy.ac.in")</f>
        <v>sanjaym.ad23@bitsathy.ac.in</v>
      </c>
      <c r="L528" s="21" t="str">
        <f>IFERROR(__xludf.DUMMYFUNCTION("XLOOKUP(B528,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""-"")"),"8248224841")</f>
        <v>8248224841</v>
      </c>
      <c r="M528" s="14" t="s">
        <v>71</v>
      </c>
      <c r="N528" s="14" t="s">
        <v>848</v>
      </c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22"/>
      <c r="AA528" s="22"/>
      <c r="AB528" s="22"/>
      <c r="AC528" s="22"/>
      <c r="AD528" s="22"/>
    </row>
    <row r="529">
      <c r="A529" s="21">
        <v>528.0</v>
      </c>
      <c r="B529" s="32" t="s">
        <v>851</v>
      </c>
      <c r="C529" s="16" t="str">
        <f>IFERROR(__xludf.DUMMYFUNCTION("XLOOKUP(B529,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""-"")"),"SOWBHARANIGA D")</f>
        <v>SOWBHARANIGA D</v>
      </c>
      <c r="D529" s="17" t="str">
        <f>IFERROR(__xludf.DUMMYFUNCTION("XLOOKUP(B529,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29" s="33" t="s">
        <v>109</v>
      </c>
      <c r="F529" s="41">
        <v>3.6</v>
      </c>
      <c r="G529" s="14" t="s">
        <v>59</v>
      </c>
      <c r="H529" s="14" t="s">
        <v>60</v>
      </c>
      <c r="I529" s="14" t="s">
        <v>432</v>
      </c>
      <c r="J529" s="14" t="s">
        <v>63</v>
      </c>
      <c r="K529" s="17" t="str">
        <f>IFERROR(__xludf.DUMMYFUNCTION("XLOOKUP(B529,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""-"")"),"sowbharniga.cb23@bitsathy.ac.in")</f>
        <v>sowbharniga.cb23@bitsathy.ac.in</v>
      </c>
      <c r="L529" s="21" t="str">
        <f>IFERROR(__xludf.DUMMYFUNCTION("XLOOKUP(B529,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""-"")"),"9003162372")</f>
        <v>9003162372</v>
      </c>
      <c r="M529" s="14" t="s">
        <v>71</v>
      </c>
      <c r="N529" s="14" t="s">
        <v>848</v>
      </c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22"/>
      <c r="AA529" s="22"/>
      <c r="AB529" s="22"/>
      <c r="AC529" s="22"/>
      <c r="AD529" s="22"/>
    </row>
    <row r="530">
      <c r="A530" s="21">
        <v>529.0</v>
      </c>
      <c r="B530" s="32" t="s">
        <v>852</v>
      </c>
      <c r="C530" s="16" t="str">
        <f>IFERROR(__xludf.DUMMYFUNCTION("XLOOKUP(B530,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""-"")"),"SUGANTH R")</f>
        <v>SUGANTH R</v>
      </c>
      <c r="D530" s="17" t="str">
        <f>IFERROR(__xludf.DUMMYFUNCTION("XLOOKUP(B530,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30" s="33" t="s">
        <v>109</v>
      </c>
      <c r="F530" s="41">
        <v>3.6</v>
      </c>
      <c r="G530" s="14" t="s">
        <v>59</v>
      </c>
      <c r="H530" s="14" t="s">
        <v>60</v>
      </c>
      <c r="I530" s="14" t="s">
        <v>432</v>
      </c>
      <c r="J530" s="14" t="s">
        <v>63</v>
      </c>
      <c r="K530" s="17" t="str">
        <f>IFERROR(__xludf.DUMMYFUNCTION("XLOOKUP(B530,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""-"")"),"suganth.cs23@bitsathy.ac.in")</f>
        <v>suganth.cs23@bitsathy.ac.in</v>
      </c>
      <c r="L530" s="21" t="str">
        <f>IFERROR(__xludf.DUMMYFUNCTION("XLOOKUP(B530,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""-"")"),"9345166901")</f>
        <v>9345166901</v>
      </c>
      <c r="M530" s="14" t="s">
        <v>71</v>
      </c>
      <c r="N530" s="14" t="s">
        <v>848</v>
      </c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22"/>
      <c r="AA530" s="22"/>
      <c r="AB530" s="22"/>
      <c r="AC530" s="22"/>
      <c r="AD530" s="22"/>
    </row>
    <row r="531">
      <c r="A531" s="21">
        <v>530.0</v>
      </c>
      <c r="B531" s="32" t="s">
        <v>749</v>
      </c>
      <c r="C531" s="16" t="str">
        <f>IFERROR(__xludf.DUMMYFUNCTION("XLOOKUP(B531,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""-"")"),"TRIDEV BALAJI R")</f>
        <v>TRIDEV BALAJI R</v>
      </c>
      <c r="D531" s="17" t="str">
        <f>IFERROR(__xludf.DUMMYFUNCTION("XLOOKUP(B531,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31" s="33" t="s">
        <v>109</v>
      </c>
      <c r="F531" s="41">
        <v>3.6</v>
      </c>
      <c r="G531" s="14" t="s">
        <v>59</v>
      </c>
      <c r="H531" s="14" t="s">
        <v>60</v>
      </c>
      <c r="I531" s="14" t="s">
        <v>432</v>
      </c>
      <c r="J531" s="14" t="s">
        <v>63</v>
      </c>
      <c r="K531" s="17" t="str">
        <f>IFERROR(__xludf.DUMMYFUNCTION("XLOOKUP(B531,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""-"")"),"tridevbalaji.cs23@bitsathy.ac.in")</f>
        <v>tridevbalaji.cs23@bitsathy.ac.in</v>
      </c>
      <c r="L531" s="21" t="str">
        <f>IFERROR(__xludf.DUMMYFUNCTION("XLOOKUP(B531,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""-"")"),"6379269278")</f>
        <v>6379269278</v>
      </c>
      <c r="M531" s="14" t="s">
        <v>71</v>
      </c>
      <c r="N531" s="14" t="s">
        <v>848</v>
      </c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22"/>
      <c r="AA531" s="22"/>
      <c r="AB531" s="22"/>
      <c r="AC531" s="22"/>
      <c r="AD531" s="22"/>
    </row>
    <row r="532">
      <c r="A532" s="21">
        <v>531.0</v>
      </c>
      <c r="B532" s="32" t="s">
        <v>853</v>
      </c>
      <c r="C532" s="16" t="str">
        <f>IFERROR(__xludf.DUMMYFUNCTION("XLOOKUP(B532,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""-"")"),"SACHIN K")</f>
        <v>SACHIN K</v>
      </c>
      <c r="D532" s="17" t="str">
        <f>IFERROR(__xludf.DUMMYFUNCTION("XLOOKUP(B532,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32" s="33" t="s">
        <v>195</v>
      </c>
      <c r="F532" s="41">
        <v>3.0</v>
      </c>
      <c r="G532" s="14" t="s">
        <v>59</v>
      </c>
      <c r="H532" s="14" t="s">
        <v>60</v>
      </c>
      <c r="I532" s="14" t="s">
        <v>136</v>
      </c>
      <c r="J532" s="14" t="s">
        <v>63</v>
      </c>
      <c r="K532" s="17" t="str">
        <f>IFERROR(__xludf.DUMMYFUNCTION("XLOOKUP(B532,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""-"")"),"sachin.mz23@bitsathy.ac.in")</f>
        <v>sachin.mz23@bitsathy.ac.in</v>
      </c>
      <c r="L532" s="21" t="str">
        <f>IFERROR(__xludf.DUMMYFUNCTION("XLOOKUP(B532,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""-"")"),"6369583031")</f>
        <v>6369583031</v>
      </c>
      <c r="M532" s="14" t="s">
        <v>71</v>
      </c>
      <c r="N532" s="14" t="s">
        <v>854</v>
      </c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22"/>
      <c r="AA532" s="22"/>
      <c r="AB532" s="22"/>
      <c r="AC532" s="22"/>
      <c r="AD532" s="22"/>
    </row>
    <row r="533">
      <c r="A533" s="21">
        <v>532.0</v>
      </c>
      <c r="B533" s="32" t="s">
        <v>855</v>
      </c>
      <c r="C533" s="16" t="str">
        <f>IFERROR(__xludf.DUMMYFUNCTION("XLOOKUP(B533,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""-"")"),"PUNITHA S")</f>
        <v>PUNITHA S</v>
      </c>
      <c r="D533" s="17" t="str">
        <f>IFERROR(__xludf.DUMMYFUNCTION("XLOOKUP(B533,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533" s="33" t="s">
        <v>195</v>
      </c>
      <c r="F533" s="41">
        <v>3.0</v>
      </c>
      <c r="G533" s="14" t="s">
        <v>59</v>
      </c>
      <c r="H533" s="14"/>
      <c r="I533" s="14" t="s">
        <v>136</v>
      </c>
      <c r="J533" s="14" t="s">
        <v>63</v>
      </c>
      <c r="K533" s="17" t="str">
        <f>IFERROR(__xludf.DUMMYFUNCTION("XLOOKUP(B533,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""-"")"),"punitha.ee23@bitsathy.ac.in")</f>
        <v>punitha.ee23@bitsathy.ac.in</v>
      </c>
      <c r="L533" s="21" t="str">
        <f>IFERROR(__xludf.DUMMYFUNCTION("XLOOKUP(B533,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""-"")"),"8870930236")</f>
        <v>8870930236</v>
      </c>
      <c r="M533" s="14" t="s">
        <v>71</v>
      </c>
      <c r="N533" s="14" t="s">
        <v>854</v>
      </c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22"/>
      <c r="AA533" s="22"/>
      <c r="AB533" s="22"/>
      <c r="AC533" s="22"/>
      <c r="AD533" s="22"/>
    </row>
    <row r="534">
      <c r="A534" s="21">
        <v>533.0</v>
      </c>
      <c r="B534" s="32" t="s">
        <v>856</v>
      </c>
      <c r="C534" s="16" t="str">
        <f>IFERROR(__xludf.DUMMYFUNCTION("XLOOKUP(B534,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""-"")"),"VIGNESHAN S")</f>
        <v>VIGNESHAN S</v>
      </c>
      <c r="D534" s="17" t="str">
        <f>IFERROR(__xludf.DUMMYFUNCTION("XLOOKUP(B534,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34" s="33" t="s">
        <v>122</v>
      </c>
      <c r="F534" s="41">
        <v>4.0</v>
      </c>
      <c r="G534" s="14" t="s">
        <v>59</v>
      </c>
      <c r="H534" s="14" t="s">
        <v>60</v>
      </c>
      <c r="I534" s="14" t="s">
        <v>136</v>
      </c>
      <c r="J534" s="14" t="s">
        <v>266</v>
      </c>
      <c r="K534" s="17" t="str">
        <f>IFERROR(__xludf.DUMMYFUNCTION("XLOOKUP(B534,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""-"")"),"vigneshan.me23@bitsathy.ac.in")</f>
        <v>vigneshan.me23@bitsathy.ac.in</v>
      </c>
      <c r="L534" s="21" t="str">
        <f>IFERROR(__xludf.DUMMYFUNCTION("XLOOKUP(B534,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""-"")"),"9043421437")</f>
        <v>9043421437</v>
      </c>
      <c r="M534" s="14" t="s">
        <v>71</v>
      </c>
      <c r="N534" s="14" t="s">
        <v>854</v>
      </c>
      <c r="O534" s="14" t="s">
        <v>857</v>
      </c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22"/>
      <c r="AA534" s="22"/>
      <c r="AB534" s="22"/>
      <c r="AC534" s="22"/>
      <c r="AD534" s="22"/>
    </row>
    <row r="535">
      <c r="A535" s="21">
        <v>534.0</v>
      </c>
      <c r="B535" s="32" t="s">
        <v>725</v>
      </c>
      <c r="C535" s="16" t="str">
        <f>IFERROR(__xludf.DUMMYFUNCTION("XLOOKUP(B535,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""-"")"),"YOGESH KUMAR S")</f>
        <v>YOGESH KUMAR S</v>
      </c>
      <c r="D535" s="17" t="str">
        <f>IFERROR(__xludf.DUMMYFUNCTION("XLOOKUP(B535,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35" s="33" t="s">
        <v>122</v>
      </c>
      <c r="F535" s="41">
        <v>4.0</v>
      </c>
      <c r="G535" s="14" t="s">
        <v>59</v>
      </c>
      <c r="H535" s="14" t="s">
        <v>60</v>
      </c>
      <c r="I535" s="14" t="s">
        <v>136</v>
      </c>
      <c r="J535" s="14" t="s">
        <v>266</v>
      </c>
      <c r="K535" s="17" t="str">
        <f>IFERROR(__xludf.DUMMYFUNCTION("XLOOKUP(B535,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""-"")"),"yogeshkumar.me23@bitsathy.ac.in")</f>
        <v>yogeshkumar.me23@bitsathy.ac.in</v>
      </c>
      <c r="L535" s="21" t="str">
        <f>IFERROR(__xludf.DUMMYFUNCTION("XLOOKUP(B535,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""-"")"),"9080901518")</f>
        <v>9080901518</v>
      </c>
      <c r="M535" s="14" t="s">
        <v>71</v>
      </c>
      <c r="N535" s="14" t="s">
        <v>854</v>
      </c>
      <c r="O535" s="14" t="s">
        <v>857</v>
      </c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22"/>
      <c r="AA535" s="22"/>
      <c r="AB535" s="22"/>
      <c r="AC535" s="22"/>
      <c r="AD535" s="22"/>
    </row>
    <row r="536">
      <c r="A536" s="21">
        <v>535.0</v>
      </c>
      <c r="B536" s="32" t="s">
        <v>808</v>
      </c>
      <c r="C536" s="16" t="str">
        <f>IFERROR(__xludf.DUMMYFUNCTION("XLOOKUP(B536,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""-"")"),"SHYAM SURGEETH S")</f>
        <v>SHYAM SURGEETH S</v>
      </c>
      <c r="D536" s="17" t="str">
        <f>IFERROR(__xludf.DUMMYFUNCTION("XLOOKUP(B536,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36" s="33" t="s">
        <v>122</v>
      </c>
      <c r="F536" s="41">
        <v>4.0</v>
      </c>
      <c r="G536" s="14" t="s">
        <v>59</v>
      </c>
      <c r="H536" s="14" t="s">
        <v>60</v>
      </c>
      <c r="I536" s="14" t="s">
        <v>136</v>
      </c>
      <c r="J536" s="14" t="s">
        <v>266</v>
      </c>
      <c r="K536" s="17" t="str">
        <f>IFERROR(__xludf.DUMMYFUNCTION("XLOOKUP(B536,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""-"")"),"shyamsurgeeth.me23@bitsathy.ac.in")</f>
        <v>shyamsurgeeth.me23@bitsathy.ac.in</v>
      </c>
      <c r="L536" s="21" t="str">
        <f>IFERROR(__xludf.DUMMYFUNCTION("XLOOKUP(B536,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""-"")"),"6385280820")</f>
        <v>6385280820</v>
      </c>
      <c r="M536" s="14" t="s">
        <v>71</v>
      </c>
      <c r="N536" s="14" t="s">
        <v>854</v>
      </c>
      <c r="O536" s="14" t="s">
        <v>857</v>
      </c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22"/>
      <c r="AA536" s="22"/>
      <c r="AB536" s="22"/>
      <c r="AC536" s="22"/>
      <c r="AD536" s="22"/>
    </row>
    <row r="537">
      <c r="A537" s="21">
        <v>536.0</v>
      </c>
      <c r="B537" s="32" t="s">
        <v>858</v>
      </c>
      <c r="C537" s="16" t="str">
        <f>IFERROR(__xludf.DUMMYFUNCTION("XLOOKUP(B537,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""-"")"),"HARJIT MAHENDRAN")</f>
        <v>HARJIT MAHENDRAN</v>
      </c>
      <c r="D537" s="17" t="str">
        <f>IFERROR(__xludf.DUMMYFUNCTION("XLOOKUP(B537,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37" s="33" t="s">
        <v>100</v>
      </c>
      <c r="F537" s="41">
        <v>5.0</v>
      </c>
      <c r="G537" s="14" t="s">
        <v>59</v>
      </c>
      <c r="H537" s="14"/>
      <c r="I537" s="14" t="s">
        <v>62</v>
      </c>
      <c r="J537" s="14" t="s">
        <v>99</v>
      </c>
      <c r="K537" s="17" t="str">
        <f>IFERROR(__xludf.DUMMYFUNCTION("XLOOKUP(B537,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""-"")"),"harjitmahendran.it23@bitsathy.ac.in")</f>
        <v>harjitmahendran.it23@bitsathy.ac.in</v>
      </c>
      <c r="L537" s="21" t="str">
        <f>IFERROR(__xludf.DUMMYFUNCTION("XLOOKUP(B537,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""-"")"),"6374562602")</f>
        <v>6374562602</v>
      </c>
      <c r="M537" s="14" t="s">
        <v>71</v>
      </c>
      <c r="N537" s="14" t="s">
        <v>854</v>
      </c>
      <c r="O537" s="14" t="s">
        <v>857</v>
      </c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22"/>
      <c r="AA537" s="22"/>
      <c r="AB537" s="22"/>
      <c r="AC537" s="22"/>
      <c r="AD537" s="22"/>
    </row>
    <row r="538">
      <c r="A538" s="21">
        <v>537.0</v>
      </c>
      <c r="B538" s="32" t="s">
        <v>859</v>
      </c>
      <c r="C538" s="16" t="str">
        <f>IFERROR(__xludf.DUMMYFUNCTION("XLOOKUP(B538,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""-"")"),"ARJUN C")</f>
        <v>ARJUN C</v>
      </c>
      <c r="D538" s="17" t="str">
        <f>IFERROR(__xludf.DUMMYFUNCTION("XLOOKUP(B538,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538" s="33" t="s">
        <v>202</v>
      </c>
      <c r="F538" s="41">
        <v>3.0</v>
      </c>
      <c r="G538" s="14" t="s">
        <v>59</v>
      </c>
      <c r="H538" s="14"/>
      <c r="I538" s="14" t="s">
        <v>62</v>
      </c>
      <c r="J538" s="14" t="s">
        <v>63</v>
      </c>
      <c r="K538" s="17" t="str">
        <f>IFERROR(__xludf.DUMMYFUNCTION("XLOOKUP(B538,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""-"")"),"arjun.ct23@bitsathy.ac.in")</f>
        <v>arjun.ct23@bitsathy.ac.in</v>
      </c>
      <c r="L538" s="21" t="str">
        <f>IFERROR(__xludf.DUMMYFUNCTION("XLOOKUP(B538,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""-"")"),"9080846805")</f>
        <v>9080846805</v>
      </c>
      <c r="M538" s="14" t="s">
        <v>71</v>
      </c>
      <c r="N538" s="14" t="s">
        <v>860</v>
      </c>
      <c r="O538" s="34"/>
      <c r="P538" s="34"/>
      <c r="Q538" s="34"/>
      <c r="R538" s="34"/>
      <c r="S538" s="34"/>
      <c r="T538" s="34"/>
      <c r="U538" s="34"/>
      <c r="V538" s="34"/>
      <c r="W538" s="34"/>
      <c r="X538" s="55" t="s">
        <v>861</v>
      </c>
      <c r="Y538" s="34"/>
      <c r="Z538" s="22"/>
      <c r="AA538" s="22"/>
      <c r="AB538" s="22"/>
      <c r="AC538" s="22"/>
      <c r="AD538" s="22"/>
    </row>
    <row r="539">
      <c r="A539" s="21">
        <v>538.0</v>
      </c>
      <c r="B539" s="32" t="s">
        <v>862</v>
      </c>
      <c r="C539" s="16" t="str">
        <f>IFERROR(__xludf.DUMMYFUNCTION("XLOOKUP(B539,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""-"")"),"ANUJ KUMAR M")</f>
        <v>ANUJ KUMAR M</v>
      </c>
      <c r="D539" s="17" t="str">
        <f>IFERROR(__xludf.DUMMYFUNCTION("XLOOKUP(B539,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39" s="33" t="s">
        <v>202</v>
      </c>
      <c r="F539" s="41">
        <v>3.0</v>
      </c>
      <c r="G539" s="14" t="s">
        <v>59</v>
      </c>
      <c r="H539" s="14"/>
      <c r="I539" s="14" t="s">
        <v>62</v>
      </c>
      <c r="J539" s="14" t="s">
        <v>63</v>
      </c>
      <c r="K539" s="17" t="str">
        <f>IFERROR(__xludf.DUMMYFUNCTION("XLOOKUP(B539,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""-"")"),"anujkumar.it23@bitsathy.ac.in")</f>
        <v>anujkumar.it23@bitsathy.ac.in</v>
      </c>
      <c r="L539" s="21" t="str">
        <f>IFERROR(__xludf.DUMMYFUNCTION("XLOOKUP(B539,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""-"")"),"8778272176")</f>
        <v>8778272176</v>
      </c>
      <c r="M539" s="14" t="s">
        <v>71</v>
      </c>
      <c r="N539" s="14" t="s">
        <v>860</v>
      </c>
      <c r="O539" s="34"/>
      <c r="P539" s="34"/>
      <c r="Q539" s="34"/>
      <c r="R539" s="34"/>
      <c r="S539" s="34"/>
      <c r="T539" s="34"/>
      <c r="U539" s="34"/>
      <c r="V539" s="34"/>
      <c r="W539" s="34"/>
      <c r="X539" s="56"/>
      <c r="Y539" s="34"/>
      <c r="Z539" s="22"/>
      <c r="AA539" s="22"/>
      <c r="AB539" s="22"/>
      <c r="AC539" s="22"/>
      <c r="AD539" s="22"/>
    </row>
    <row r="540">
      <c r="A540" s="21">
        <v>539.0</v>
      </c>
      <c r="B540" s="32" t="s">
        <v>863</v>
      </c>
      <c r="C540" s="16" t="str">
        <f>IFERROR(__xludf.DUMMYFUNCTION("XLOOKUP(B540,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""-"")"),"JANARTHANAN M")</f>
        <v>JANARTHANAN M</v>
      </c>
      <c r="D540" s="17" t="str">
        <f>IFERROR(__xludf.DUMMYFUNCTION("XLOOKUP(B540,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40" s="33" t="s">
        <v>202</v>
      </c>
      <c r="F540" s="41">
        <v>3.0</v>
      </c>
      <c r="G540" s="14" t="s">
        <v>59</v>
      </c>
      <c r="H540" s="14"/>
      <c r="I540" s="14" t="s">
        <v>62</v>
      </c>
      <c r="J540" s="14" t="s">
        <v>63</v>
      </c>
      <c r="K540" s="17" t="str">
        <f>IFERROR(__xludf.DUMMYFUNCTION("XLOOKUP(B540,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""-"")"),"janarthanan.ad23@bitsathy.ac.in")</f>
        <v>janarthanan.ad23@bitsathy.ac.in</v>
      </c>
      <c r="L540" s="21" t="str">
        <f>IFERROR(__xludf.DUMMYFUNCTION("XLOOKUP(B540,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""-"")"),"9790301848")</f>
        <v>9790301848</v>
      </c>
      <c r="M540" s="14" t="s">
        <v>71</v>
      </c>
      <c r="N540" s="14" t="s">
        <v>860</v>
      </c>
      <c r="O540" s="34"/>
      <c r="P540" s="34"/>
      <c r="Q540" s="34"/>
      <c r="R540" s="34"/>
      <c r="S540" s="34"/>
      <c r="T540" s="34"/>
      <c r="U540" s="34"/>
      <c r="V540" s="34"/>
      <c r="W540" s="34"/>
      <c r="X540" s="56"/>
      <c r="Y540" s="34"/>
      <c r="Z540" s="22"/>
      <c r="AA540" s="22"/>
      <c r="AB540" s="22"/>
      <c r="AC540" s="22"/>
      <c r="AD540" s="22"/>
    </row>
    <row r="541">
      <c r="A541" s="21">
        <v>540.0</v>
      </c>
      <c r="B541" s="32" t="s">
        <v>864</v>
      </c>
      <c r="C541" s="16" t="str">
        <f>IFERROR(__xludf.DUMMYFUNCTION("XLOOKUP(B541,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""-"")"),"RAKSHINI K")</f>
        <v>RAKSHINI K</v>
      </c>
      <c r="D541" s="17" t="str">
        <f>IFERROR(__xludf.DUMMYFUNCTION("XLOOKUP(B541,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541" s="33" t="s">
        <v>202</v>
      </c>
      <c r="F541" s="41">
        <v>3.0</v>
      </c>
      <c r="G541" s="14" t="s">
        <v>59</v>
      </c>
      <c r="H541" s="14"/>
      <c r="I541" s="14" t="s">
        <v>62</v>
      </c>
      <c r="J541" s="14" t="s">
        <v>63</v>
      </c>
      <c r="K541" s="17" t="str">
        <f>IFERROR(__xludf.DUMMYFUNCTION("XLOOKUP(B541,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""-"")"),"rakshini.se23@bitsathy.ac.in")</f>
        <v>rakshini.se23@bitsathy.ac.in</v>
      </c>
      <c r="L541" s="21" t="str">
        <f>IFERROR(__xludf.DUMMYFUNCTION("XLOOKUP(B541,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""-"")"),"6379549001")</f>
        <v>6379549001</v>
      </c>
      <c r="M541" s="14" t="s">
        <v>71</v>
      </c>
      <c r="N541" s="14" t="s">
        <v>860</v>
      </c>
      <c r="O541" s="34"/>
      <c r="P541" s="34"/>
      <c r="Q541" s="34"/>
      <c r="R541" s="34"/>
      <c r="S541" s="34"/>
      <c r="T541" s="34"/>
      <c r="U541" s="34"/>
      <c r="V541" s="34"/>
      <c r="W541" s="34"/>
      <c r="X541" s="56"/>
      <c r="Y541" s="34"/>
      <c r="Z541" s="22"/>
      <c r="AA541" s="22"/>
      <c r="AB541" s="22"/>
      <c r="AC541" s="22"/>
      <c r="AD541" s="22"/>
    </row>
    <row r="542">
      <c r="A542" s="21">
        <v>541.0</v>
      </c>
      <c r="B542" s="32" t="s">
        <v>865</v>
      </c>
      <c r="C542" s="16" t="str">
        <f>IFERROR(__xludf.DUMMYFUNCTION("XLOOKUP(B542,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""-"")"),"PRANEETA P K")</f>
        <v>PRANEETA P K</v>
      </c>
      <c r="D542" s="17" t="str">
        <f>IFERROR(__xludf.DUMMYFUNCTION("XLOOKUP(B542,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42" s="33" t="s">
        <v>202</v>
      </c>
      <c r="F542" s="41">
        <v>3.0</v>
      </c>
      <c r="G542" s="14" t="s">
        <v>59</v>
      </c>
      <c r="H542" s="14"/>
      <c r="I542" s="14" t="s">
        <v>62</v>
      </c>
      <c r="J542" s="14" t="s">
        <v>63</v>
      </c>
      <c r="K542" s="17" t="str">
        <f>IFERROR(__xludf.DUMMYFUNCTION("XLOOKUP(B542,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""-"")"),"praneeta.cs23@bitsathy.ac.in")</f>
        <v>praneeta.cs23@bitsathy.ac.in</v>
      </c>
      <c r="L542" s="21" t="str">
        <f>IFERROR(__xludf.DUMMYFUNCTION("XLOOKUP(B542,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""-"")"),"9080851295")</f>
        <v>9080851295</v>
      </c>
      <c r="M542" s="14" t="s">
        <v>71</v>
      </c>
      <c r="N542" s="14" t="s">
        <v>860</v>
      </c>
      <c r="O542" s="34"/>
      <c r="P542" s="34"/>
      <c r="Q542" s="34"/>
      <c r="R542" s="34"/>
      <c r="S542" s="34"/>
      <c r="T542" s="34"/>
      <c r="U542" s="34"/>
      <c r="V542" s="34"/>
      <c r="W542" s="34"/>
      <c r="X542" s="56"/>
      <c r="Y542" s="34"/>
      <c r="Z542" s="22"/>
      <c r="AA542" s="22"/>
      <c r="AB542" s="22"/>
      <c r="AC542" s="22"/>
      <c r="AD542" s="22"/>
    </row>
    <row r="543">
      <c r="A543" s="21">
        <v>542.0</v>
      </c>
      <c r="B543" s="32" t="s">
        <v>866</v>
      </c>
      <c r="C543" s="16" t="str">
        <f>IFERROR(__xludf.DUMMYFUNCTION("XLOOKUP(B543,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""-"")"),"NIVEDHITHA M")</f>
        <v>NIVEDHITHA M</v>
      </c>
      <c r="D543" s="17" t="str">
        <f>IFERROR(__xludf.DUMMYFUNCTION("XLOOKUP(B543,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43" s="33" t="s">
        <v>202</v>
      </c>
      <c r="F543" s="41">
        <v>3.0</v>
      </c>
      <c r="G543" s="14" t="s">
        <v>59</v>
      </c>
      <c r="H543" s="14"/>
      <c r="I543" s="14" t="s">
        <v>62</v>
      </c>
      <c r="J543" s="14" t="s">
        <v>63</v>
      </c>
      <c r="K543" s="17" t="str">
        <f>IFERROR(__xludf.DUMMYFUNCTION("XLOOKUP(B543,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""-"")"),"nivedhitha.cs23@bitsathy.ac.in")</f>
        <v>nivedhitha.cs23@bitsathy.ac.in</v>
      </c>
      <c r="L543" s="21" t="str">
        <f>IFERROR(__xludf.DUMMYFUNCTION("XLOOKUP(B543,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""-"")"),"7010307696")</f>
        <v>7010307696</v>
      </c>
      <c r="M543" s="14" t="s">
        <v>71</v>
      </c>
      <c r="N543" s="14" t="s">
        <v>860</v>
      </c>
      <c r="O543" s="34"/>
      <c r="P543" s="34"/>
      <c r="Q543" s="34"/>
      <c r="R543" s="34"/>
      <c r="S543" s="34"/>
      <c r="T543" s="34"/>
      <c r="U543" s="34"/>
      <c r="V543" s="34"/>
      <c r="W543" s="34"/>
      <c r="X543" s="56"/>
      <c r="Y543" s="34"/>
      <c r="Z543" s="22"/>
      <c r="AA543" s="22"/>
      <c r="AB543" s="22"/>
      <c r="AC543" s="22"/>
      <c r="AD543" s="22"/>
    </row>
    <row r="544">
      <c r="A544" s="21">
        <v>543.0</v>
      </c>
      <c r="B544" s="32" t="s">
        <v>867</v>
      </c>
      <c r="C544" s="16" t="str">
        <f>IFERROR(__xludf.DUMMYFUNCTION("XLOOKUP(B544,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""-"")"),"HARINIPEN V")</f>
        <v>HARINIPEN V</v>
      </c>
      <c r="D544" s="17" t="str">
        <f>IFERROR(__xludf.DUMMYFUNCTION("XLOOKUP(B544,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44" s="33" t="s">
        <v>202</v>
      </c>
      <c r="F544" s="41">
        <v>3.0</v>
      </c>
      <c r="G544" s="14" t="s">
        <v>59</v>
      </c>
      <c r="H544" s="14"/>
      <c r="I544" s="14" t="s">
        <v>62</v>
      </c>
      <c r="J544" s="14" t="s">
        <v>63</v>
      </c>
      <c r="K544" s="17" t="str">
        <f>IFERROR(__xludf.DUMMYFUNCTION("XLOOKUP(B544,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""-"")"),"harinipen.ad23@bitsathy.ac.in")</f>
        <v>harinipen.ad23@bitsathy.ac.in</v>
      </c>
      <c r="L544" s="21" t="str">
        <f>IFERROR(__xludf.DUMMYFUNCTION("XLOOKUP(B544,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""-"")"),"9600359711")</f>
        <v>9600359711</v>
      </c>
      <c r="M544" s="14" t="s">
        <v>71</v>
      </c>
      <c r="N544" s="14" t="s">
        <v>860</v>
      </c>
      <c r="O544" s="34"/>
      <c r="P544" s="34"/>
      <c r="Q544" s="34"/>
      <c r="R544" s="34"/>
      <c r="S544" s="34"/>
      <c r="T544" s="34"/>
      <c r="U544" s="34"/>
      <c r="V544" s="34"/>
      <c r="W544" s="34"/>
      <c r="X544" s="57"/>
      <c r="Y544" s="34"/>
      <c r="Z544" s="22"/>
      <c r="AA544" s="22"/>
      <c r="AB544" s="22"/>
      <c r="AC544" s="22"/>
      <c r="AD544" s="22"/>
    </row>
    <row r="545">
      <c r="A545" s="21">
        <v>544.0</v>
      </c>
      <c r="B545" s="32" t="s">
        <v>855</v>
      </c>
      <c r="C545" s="16" t="str">
        <f>IFERROR(__xludf.DUMMYFUNCTION("XLOOKUP(B545,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""-"")"),"PUNITHA S")</f>
        <v>PUNITHA S</v>
      </c>
      <c r="D545" s="17" t="str">
        <f>IFERROR(__xludf.DUMMYFUNCTION("XLOOKUP(B545,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545" s="33" t="s">
        <v>157</v>
      </c>
      <c r="F545" s="41">
        <v>3.5</v>
      </c>
      <c r="G545" s="14" t="s">
        <v>59</v>
      </c>
      <c r="H545" s="14" t="s">
        <v>60</v>
      </c>
      <c r="I545" s="14" t="s">
        <v>136</v>
      </c>
      <c r="J545" s="14" t="s">
        <v>266</v>
      </c>
      <c r="K545" s="17" t="str">
        <f>IFERROR(__xludf.DUMMYFUNCTION("XLOOKUP(B545,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""-"")"),"punitha.ee23@bitsathy.ac.in")</f>
        <v>punitha.ee23@bitsathy.ac.in</v>
      </c>
      <c r="L545" s="21" t="str">
        <f>IFERROR(__xludf.DUMMYFUNCTION("XLOOKUP(B545,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""-"")"),"8870930236")</f>
        <v>8870930236</v>
      </c>
      <c r="M545" s="14" t="s">
        <v>71</v>
      </c>
      <c r="N545" s="14" t="s">
        <v>868</v>
      </c>
      <c r="O545" s="14" t="s">
        <v>765</v>
      </c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22"/>
      <c r="AA545" s="22"/>
      <c r="AB545" s="22"/>
      <c r="AC545" s="22"/>
      <c r="AD545" s="22"/>
    </row>
    <row r="546">
      <c r="A546" s="21">
        <v>545.0</v>
      </c>
      <c r="B546" s="32" t="s">
        <v>869</v>
      </c>
      <c r="C546" s="16" t="str">
        <f>IFERROR(__xludf.DUMMYFUNCTION("XLOOKUP(B546,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""-"")"),"MAHESHWARAN B")</f>
        <v>MAHESHWARAN B</v>
      </c>
      <c r="D546" s="17" t="str">
        <f>IFERROR(__xludf.DUMMYFUNCTION("XLOOKUP(B546,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46" s="33" t="s">
        <v>180</v>
      </c>
      <c r="F546" s="41">
        <v>3.0</v>
      </c>
      <c r="G546" s="14" t="s">
        <v>59</v>
      </c>
      <c r="H546" s="14"/>
      <c r="I546" s="14" t="s">
        <v>136</v>
      </c>
      <c r="J546" s="14" t="s">
        <v>63</v>
      </c>
      <c r="K546" s="17" t="str">
        <f>IFERROR(__xludf.DUMMYFUNCTION("XLOOKUP(B546,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""-"")"),"maheshwaran.bt23@bitsathy.ac.in")</f>
        <v>maheshwaran.bt23@bitsathy.ac.in</v>
      </c>
      <c r="L546" s="21" t="str">
        <f>IFERROR(__xludf.DUMMYFUNCTION("XLOOKUP(B546,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""-"")"),"9790015474")</f>
        <v>9790015474</v>
      </c>
      <c r="M546" s="14" t="s">
        <v>240</v>
      </c>
      <c r="N546" s="14" t="s">
        <v>868</v>
      </c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22"/>
      <c r="AA546" s="22"/>
      <c r="AB546" s="22"/>
      <c r="AC546" s="22"/>
      <c r="AD546" s="22"/>
    </row>
    <row r="547">
      <c r="A547" s="21">
        <v>546.0</v>
      </c>
      <c r="B547" s="32" t="s">
        <v>870</v>
      </c>
      <c r="C547" s="16" t="str">
        <f>IFERROR(__xludf.DUMMYFUNCTION("XLOOKUP(B547,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""-"")"),"VISHNU VARDHAN S")</f>
        <v>VISHNU VARDHAN S</v>
      </c>
      <c r="D547" s="17" t="str">
        <f>IFERROR(__xludf.DUMMYFUNCTION("XLOOKUP(B547,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47" s="33" t="s">
        <v>180</v>
      </c>
      <c r="F547" s="41">
        <v>3.0</v>
      </c>
      <c r="G547" s="14" t="s">
        <v>59</v>
      </c>
      <c r="H547" s="14"/>
      <c r="I547" s="14" t="s">
        <v>136</v>
      </c>
      <c r="J547" s="14" t="s">
        <v>63</v>
      </c>
      <c r="K547" s="17" t="str">
        <f>IFERROR(__xludf.DUMMYFUNCTION("XLOOKUP(B547,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""-"")"),"vishnuvardhan.bt23@bitsathy.ac.in")</f>
        <v>vishnuvardhan.bt23@bitsathy.ac.in</v>
      </c>
      <c r="L547" s="21" t="str">
        <f>IFERROR(__xludf.DUMMYFUNCTION("XLOOKUP(B547,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""-"")"),"9342762355")</f>
        <v>9342762355</v>
      </c>
      <c r="M547" s="14" t="s">
        <v>240</v>
      </c>
      <c r="N547" s="14" t="s">
        <v>868</v>
      </c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22"/>
      <c r="AA547" s="22"/>
      <c r="AB547" s="22"/>
      <c r="AC547" s="22"/>
      <c r="AD547" s="22"/>
    </row>
    <row r="548">
      <c r="A548" s="21">
        <v>547.0</v>
      </c>
      <c r="B548" s="32" t="s">
        <v>871</v>
      </c>
      <c r="C548" s="16" t="str">
        <f>IFERROR(__xludf.DUMMYFUNCTION("XLOOKUP(B548,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""-"")"),"DHANUSH P")</f>
        <v>DHANUSH P</v>
      </c>
      <c r="D548" s="17" t="str">
        <f>IFERROR(__xludf.DUMMYFUNCTION("XLOOKUP(B548,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48" s="33" t="s">
        <v>180</v>
      </c>
      <c r="F548" s="41">
        <v>3.0</v>
      </c>
      <c r="G548" s="14" t="s">
        <v>59</v>
      </c>
      <c r="H548" s="14"/>
      <c r="I548" s="14" t="s">
        <v>136</v>
      </c>
      <c r="J548" s="14" t="s">
        <v>63</v>
      </c>
      <c r="K548" s="17" t="str">
        <f>IFERROR(__xludf.DUMMYFUNCTION("XLOOKUP(B548,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""-"")"),"dhanush.bt23@bitsathy.ac.in")</f>
        <v>dhanush.bt23@bitsathy.ac.in</v>
      </c>
      <c r="L548" s="21" t="str">
        <f>IFERROR(__xludf.DUMMYFUNCTION("XLOOKUP(B548,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""-"")"),"7904825445")</f>
        <v>7904825445</v>
      </c>
      <c r="M548" s="14" t="s">
        <v>240</v>
      </c>
      <c r="N548" s="14" t="s">
        <v>868</v>
      </c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22"/>
      <c r="AA548" s="22"/>
      <c r="AB548" s="22"/>
      <c r="AC548" s="22"/>
      <c r="AD548" s="22"/>
    </row>
    <row r="549">
      <c r="A549" s="21">
        <v>548.0</v>
      </c>
      <c r="B549" s="32" t="s">
        <v>785</v>
      </c>
      <c r="C549" s="16" t="str">
        <f>IFERROR(__xludf.DUMMYFUNCTION("XLOOKUP(B549,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""-"")"),"SABAREESHWARAN S")</f>
        <v>SABAREESHWARAN S</v>
      </c>
      <c r="D549" s="17" t="str">
        <f>IFERROR(__xludf.DUMMYFUNCTION("XLOOKUP(B549,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49" s="33" t="s">
        <v>180</v>
      </c>
      <c r="F549" s="41">
        <v>3.0</v>
      </c>
      <c r="G549" s="14" t="s">
        <v>59</v>
      </c>
      <c r="H549" s="14"/>
      <c r="I549" s="14" t="s">
        <v>136</v>
      </c>
      <c r="J549" s="14" t="s">
        <v>63</v>
      </c>
      <c r="K549" s="17" t="str">
        <f>IFERROR(__xludf.DUMMYFUNCTION("XLOOKUP(B549,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""-"")"),"sabareeshwaran.bt23@bitsathy.ac.in")</f>
        <v>sabareeshwaran.bt23@bitsathy.ac.in</v>
      </c>
      <c r="L549" s="21" t="str">
        <f>IFERROR(__xludf.DUMMYFUNCTION("XLOOKUP(B549,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""-"")"),"9042039354")</f>
        <v>9042039354</v>
      </c>
      <c r="M549" s="14" t="s">
        <v>240</v>
      </c>
      <c r="N549" s="14" t="s">
        <v>868</v>
      </c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22"/>
      <c r="AA549" s="22"/>
      <c r="AB549" s="22"/>
      <c r="AC549" s="22"/>
      <c r="AD549" s="22"/>
    </row>
    <row r="550">
      <c r="A550" s="21">
        <v>549.0</v>
      </c>
      <c r="B550" s="32" t="s">
        <v>872</v>
      </c>
      <c r="C550" s="16" t="str">
        <f>IFERROR(__xludf.DUMMYFUNCTION("XLOOKUP(B550,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""-"")"),"NAGGUL K")</f>
        <v>NAGGUL K</v>
      </c>
      <c r="D550" s="17" t="str">
        <f>IFERROR(__xludf.DUMMYFUNCTION("XLOOKUP(B550,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0" s="33" t="s">
        <v>180</v>
      </c>
      <c r="F550" s="41">
        <v>3.0</v>
      </c>
      <c r="G550" s="14" t="s">
        <v>59</v>
      </c>
      <c r="H550" s="14"/>
      <c r="I550" s="14" t="s">
        <v>136</v>
      </c>
      <c r="J550" s="14" t="s">
        <v>63</v>
      </c>
      <c r="K550" s="17" t="str">
        <f>IFERROR(__xludf.DUMMYFUNCTION("XLOOKUP(B550,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""-"")"),"naggul.bt23@bitsathy.ac.in")</f>
        <v>naggul.bt23@bitsathy.ac.in</v>
      </c>
      <c r="L550" s="21" t="str">
        <f>IFERROR(__xludf.DUMMYFUNCTION("XLOOKUP(B550,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""-"")"),"9361915637")</f>
        <v>9361915637</v>
      </c>
      <c r="M550" s="14" t="s">
        <v>240</v>
      </c>
      <c r="N550" s="14" t="s">
        <v>868</v>
      </c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22"/>
      <c r="AA550" s="22"/>
      <c r="AB550" s="22"/>
      <c r="AC550" s="22"/>
      <c r="AD550" s="22"/>
    </row>
    <row r="551">
      <c r="A551" s="21">
        <v>550.0</v>
      </c>
      <c r="B551" s="32" t="s">
        <v>873</v>
      </c>
      <c r="C551" s="16" t="str">
        <f>IFERROR(__xludf.DUMMYFUNCTION("XLOOKUP(B551,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""-"")"),"SYED AL AZEEM A")</f>
        <v>SYED AL AZEEM A</v>
      </c>
      <c r="D551" s="17" t="str">
        <f>IFERROR(__xludf.DUMMYFUNCTION("XLOOKUP(B551,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1" s="33" t="s">
        <v>180</v>
      </c>
      <c r="F551" s="41">
        <v>3.0</v>
      </c>
      <c r="G551" s="14" t="s">
        <v>59</v>
      </c>
      <c r="H551" s="14"/>
      <c r="I551" s="14" t="s">
        <v>136</v>
      </c>
      <c r="J551" s="14" t="s">
        <v>63</v>
      </c>
      <c r="K551" s="17" t="str">
        <f>IFERROR(__xludf.DUMMYFUNCTION("XLOOKUP(B551,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""-"")"),"syedalazeem.bt23@bitsathy.ac.in")</f>
        <v>syedalazeem.bt23@bitsathy.ac.in</v>
      </c>
      <c r="L551" s="21" t="str">
        <f>IFERROR(__xludf.DUMMYFUNCTION("XLOOKUP(B551,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""-"")"),"9345630784")</f>
        <v>9345630784</v>
      </c>
      <c r="M551" s="14" t="s">
        <v>240</v>
      </c>
      <c r="N551" s="14" t="s">
        <v>868</v>
      </c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22"/>
      <c r="AA551" s="22"/>
      <c r="AB551" s="22"/>
      <c r="AC551" s="22"/>
      <c r="AD551" s="22"/>
    </row>
    <row r="552">
      <c r="A552" s="21">
        <v>551.0</v>
      </c>
      <c r="B552" s="32" t="s">
        <v>874</v>
      </c>
      <c r="C552" s="16" t="str">
        <f>IFERROR(__xludf.DUMMYFUNCTION("XLOOKUP(B552,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""-"")"),"BALAJI V")</f>
        <v>BALAJI V</v>
      </c>
      <c r="D552" s="17" t="str">
        <f>IFERROR(__xludf.DUMMYFUNCTION("XLOOKUP(B552,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2" s="33" t="s">
        <v>180</v>
      </c>
      <c r="F552" s="41">
        <v>3.0</v>
      </c>
      <c r="G552" s="14" t="s">
        <v>59</v>
      </c>
      <c r="H552" s="14"/>
      <c r="I552" s="14" t="s">
        <v>136</v>
      </c>
      <c r="J552" s="14" t="s">
        <v>63</v>
      </c>
      <c r="K552" s="17" t="str">
        <f>IFERROR(__xludf.DUMMYFUNCTION("XLOOKUP(B552,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""-"")"),"balaji.bt23@bitsathy.ac.in")</f>
        <v>balaji.bt23@bitsathy.ac.in</v>
      </c>
      <c r="L552" s="21" t="str">
        <f>IFERROR(__xludf.DUMMYFUNCTION("XLOOKUP(B552,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""-"")"),"8778643799")</f>
        <v>8778643799</v>
      </c>
      <c r="M552" s="14" t="s">
        <v>240</v>
      </c>
      <c r="N552" s="14" t="s">
        <v>868</v>
      </c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22"/>
      <c r="AA552" s="22"/>
      <c r="AB552" s="22"/>
      <c r="AC552" s="22"/>
      <c r="AD552" s="22"/>
    </row>
    <row r="553">
      <c r="A553" s="21">
        <v>552.0</v>
      </c>
      <c r="B553" s="32" t="s">
        <v>875</v>
      </c>
      <c r="C553" s="16" t="str">
        <f>IFERROR(__xludf.DUMMYFUNCTION("XLOOKUP(B553,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""-"")"),"RANJITH M")</f>
        <v>RANJITH M</v>
      </c>
      <c r="D553" s="17" t="str">
        <f>IFERROR(__xludf.DUMMYFUNCTION("XLOOKUP(B553,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3" s="33" t="s">
        <v>180</v>
      </c>
      <c r="F553" s="41">
        <v>3.0</v>
      </c>
      <c r="G553" s="14" t="s">
        <v>59</v>
      </c>
      <c r="H553" s="14"/>
      <c r="I553" s="14" t="s">
        <v>136</v>
      </c>
      <c r="J553" s="14" t="s">
        <v>63</v>
      </c>
      <c r="K553" s="17" t="str">
        <f>IFERROR(__xludf.DUMMYFUNCTION("XLOOKUP(B553,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""-"")"),"ranjith.bt23@bitsathy.ac.in")</f>
        <v>ranjith.bt23@bitsathy.ac.in</v>
      </c>
      <c r="L553" s="21" t="str">
        <f>IFERROR(__xludf.DUMMYFUNCTION("XLOOKUP(B553,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""-"")"),"6383767469")</f>
        <v>6383767469</v>
      </c>
      <c r="M553" s="14" t="s">
        <v>240</v>
      </c>
      <c r="N553" s="14" t="s">
        <v>868</v>
      </c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22"/>
      <c r="AA553" s="22"/>
      <c r="AB553" s="22"/>
      <c r="AC553" s="22"/>
      <c r="AD553" s="22"/>
    </row>
    <row r="554">
      <c r="A554" s="21">
        <v>553.0</v>
      </c>
      <c r="B554" s="32" t="s">
        <v>876</v>
      </c>
      <c r="C554" s="16" t="str">
        <f>IFERROR(__xludf.DUMMYFUNCTION("XLOOKUP(B554,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""-"")"),"HARIESH B")</f>
        <v>HARIESH B</v>
      </c>
      <c r="D554" s="17" t="str">
        <f>IFERROR(__xludf.DUMMYFUNCTION("XLOOKUP(B554,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4" s="33" t="s">
        <v>180</v>
      </c>
      <c r="F554" s="41">
        <v>3.0</v>
      </c>
      <c r="G554" s="14" t="s">
        <v>59</v>
      </c>
      <c r="H554" s="14"/>
      <c r="I554" s="14" t="s">
        <v>136</v>
      </c>
      <c r="J554" s="14" t="s">
        <v>63</v>
      </c>
      <c r="K554" s="17" t="str">
        <f>IFERROR(__xludf.DUMMYFUNCTION("XLOOKUP(B554,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""-"")"),"hariesh.bt23@bitsathy.ac.in")</f>
        <v>hariesh.bt23@bitsathy.ac.in</v>
      </c>
      <c r="L554" s="21" t="str">
        <f>IFERROR(__xludf.DUMMYFUNCTION("XLOOKUP(B554,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""-"")"),"7708696578")</f>
        <v>7708696578</v>
      </c>
      <c r="M554" s="14" t="s">
        <v>240</v>
      </c>
      <c r="N554" s="14" t="s">
        <v>868</v>
      </c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22"/>
      <c r="AA554" s="22"/>
      <c r="AB554" s="22"/>
      <c r="AC554" s="22"/>
      <c r="AD554" s="22"/>
    </row>
    <row r="555">
      <c r="A555" s="21">
        <v>554.0</v>
      </c>
      <c r="B555" s="32" t="s">
        <v>794</v>
      </c>
      <c r="C555" s="16" t="str">
        <f>IFERROR(__xludf.DUMMYFUNCTION("XLOOKUP(B555,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""-"")"),"SHARMESH K")</f>
        <v>SHARMESH K</v>
      </c>
      <c r="D555" s="17" t="str">
        <f>IFERROR(__xludf.DUMMYFUNCTION("XLOOKUP(B555,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5" s="33" t="s">
        <v>180</v>
      </c>
      <c r="F555" s="41">
        <v>3.0</v>
      </c>
      <c r="G555" s="14" t="s">
        <v>59</v>
      </c>
      <c r="H555" s="14"/>
      <c r="I555" s="14" t="s">
        <v>136</v>
      </c>
      <c r="J555" s="14" t="s">
        <v>63</v>
      </c>
      <c r="K555" s="17" t="str">
        <f>IFERROR(__xludf.DUMMYFUNCTION("XLOOKUP(B555,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""-"")"),"sharmeshk.bt23@bitsathy.ac.in")</f>
        <v>sharmeshk.bt23@bitsathy.ac.in</v>
      </c>
      <c r="L555" s="21" t="str">
        <f>IFERROR(__xludf.DUMMYFUNCTION("XLOOKUP(B555,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""-"")"),"9585573767")</f>
        <v>9585573767</v>
      </c>
      <c r="M555" s="14" t="s">
        <v>240</v>
      </c>
      <c r="N555" s="14" t="s">
        <v>868</v>
      </c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22"/>
      <c r="AA555" s="22"/>
      <c r="AB555" s="22"/>
      <c r="AC555" s="22"/>
      <c r="AD555" s="22"/>
    </row>
    <row r="556">
      <c r="A556" s="21">
        <v>555.0</v>
      </c>
      <c r="B556" s="32" t="s">
        <v>877</v>
      </c>
      <c r="C556" s="16" t="str">
        <f>IFERROR(__xludf.DUMMYFUNCTION("XLOOKUP(B556,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""-"")"),"PRAVEEN KUMAR  A")</f>
        <v>PRAVEEN KUMAR  A</v>
      </c>
      <c r="D556" s="17" t="str">
        <f>IFERROR(__xludf.DUMMYFUNCTION("XLOOKUP(B556,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6" s="33" t="s">
        <v>180</v>
      </c>
      <c r="F556" s="41">
        <v>3.0</v>
      </c>
      <c r="G556" s="14" t="s">
        <v>59</v>
      </c>
      <c r="H556" s="14"/>
      <c r="I556" s="14" t="s">
        <v>136</v>
      </c>
      <c r="J556" s="14" t="s">
        <v>63</v>
      </c>
      <c r="K556" s="17" t="str">
        <f>IFERROR(__xludf.DUMMYFUNCTION("XLOOKUP(B556,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""-"")"),"praveenkumar.bt23@bitsathy.ac.in")</f>
        <v>praveenkumar.bt23@bitsathy.ac.in</v>
      </c>
      <c r="L556" s="21" t="str">
        <f>IFERROR(__xludf.DUMMYFUNCTION("XLOOKUP(B556,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""-"")"),"7598997541")</f>
        <v>7598997541</v>
      </c>
      <c r="M556" s="14" t="s">
        <v>240</v>
      </c>
      <c r="N556" s="14" t="s">
        <v>868</v>
      </c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22"/>
      <c r="AA556" s="22"/>
      <c r="AB556" s="22"/>
      <c r="AC556" s="22"/>
      <c r="AD556" s="22"/>
    </row>
    <row r="557">
      <c r="A557" s="21">
        <v>556.0</v>
      </c>
      <c r="B557" s="32" t="s">
        <v>878</v>
      </c>
      <c r="C557" s="16" t="str">
        <f>IFERROR(__xludf.DUMMYFUNCTION("XLOOKUP(B557,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""-"")"),"MOHANAVEL P")</f>
        <v>MOHANAVEL P</v>
      </c>
      <c r="D557" s="17" t="str">
        <f>IFERROR(__xludf.DUMMYFUNCTION("XLOOKUP(B557,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7" s="33" t="s">
        <v>180</v>
      </c>
      <c r="F557" s="41">
        <v>3.0</v>
      </c>
      <c r="G557" s="14" t="s">
        <v>59</v>
      </c>
      <c r="H557" s="14"/>
      <c r="I557" s="14" t="s">
        <v>136</v>
      </c>
      <c r="J557" s="14" t="s">
        <v>63</v>
      </c>
      <c r="K557" s="17" t="str">
        <f>IFERROR(__xludf.DUMMYFUNCTION("XLOOKUP(B557,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""-"")"),"mohanavel.bt23@bitsathy.ac.in")</f>
        <v>mohanavel.bt23@bitsathy.ac.in</v>
      </c>
      <c r="L557" s="21" t="str">
        <f>IFERROR(__xludf.DUMMYFUNCTION("XLOOKUP(B557,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""-"")"),"9363100198")</f>
        <v>9363100198</v>
      </c>
      <c r="M557" s="14" t="s">
        <v>240</v>
      </c>
      <c r="N557" s="14" t="s">
        <v>868</v>
      </c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22"/>
      <c r="AA557" s="22"/>
      <c r="AB557" s="22"/>
      <c r="AC557" s="22"/>
      <c r="AD557" s="22"/>
    </row>
    <row r="558">
      <c r="A558" s="21">
        <v>557.0</v>
      </c>
      <c r="B558" s="32" t="s">
        <v>879</v>
      </c>
      <c r="C558" s="16" t="str">
        <f>IFERROR(__xludf.DUMMYFUNCTION("XLOOKUP(B558,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 S")</f>
        <v>KAVIN S</v>
      </c>
      <c r="D558" s="17" t="str">
        <f>IFERROR(__xludf.DUMMYFUNCTION("XLOOKUP(B558,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8" s="33" t="s">
        <v>180</v>
      </c>
      <c r="F558" s="41">
        <v>3.0</v>
      </c>
      <c r="G558" s="14" t="s">
        <v>59</v>
      </c>
      <c r="H558" s="14"/>
      <c r="I558" s="14" t="s">
        <v>136</v>
      </c>
      <c r="J558" s="14" t="s">
        <v>63</v>
      </c>
      <c r="K558" s="17" t="str">
        <f>IFERROR(__xludf.DUMMYFUNCTION("XLOOKUP(B558,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""-"")"),"kavin.bt23@bitsathy.ac.in")</f>
        <v>kavin.bt23@bitsathy.ac.in</v>
      </c>
      <c r="L558" s="21" t="str">
        <f>IFERROR(__xludf.DUMMYFUNCTION("XLOOKUP(B558,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""-"")"),"9361383850")</f>
        <v>9361383850</v>
      </c>
      <c r="M558" s="14" t="s">
        <v>240</v>
      </c>
      <c r="N558" s="14" t="s">
        <v>868</v>
      </c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22"/>
      <c r="AA558" s="22"/>
      <c r="AB558" s="22"/>
      <c r="AC558" s="22"/>
      <c r="AD558" s="22"/>
    </row>
    <row r="559">
      <c r="A559" s="21">
        <v>558.0</v>
      </c>
      <c r="B559" s="32" t="s">
        <v>880</v>
      </c>
      <c r="C559" s="16" t="str">
        <f>IFERROR(__xludf.DUMMYFUNCTION("XLOOKUP(B559,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""-"")"),"THILAK G")</f>
        <v>THILAK G</v>
      </c>
      <c r="D559" s="17" t="str">
        <f>IFERROR(__xludf.DUMMYFUNCTION("XLOOKUP(B559,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""-"")"),"BIOTECHNOLOGY")</f>
        <v>BIOTECHNOLOGY</v>
      </c>
      <c r="E559" s="33" t="s">
        <v>180</v>
      </c>
      <c r="F559" s="41">
        <v>3.0</v>
      </c>
      <c r="G559" s="14" t="s">
        <v>59</v>
      </c>
      <c r="H559" s="14"/>
      <c r="I559" s="14" t="s">
        <v>136</v>
      </c>
      <c r="J559" s="14" t="s">
        <v>99</v>
      </c>
      <c r="K559" s="17" t="str">
        <f>IFERROR(__xludf.DUMMYFUNCTION("XLOOKUP(B559,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""-"")"),"thilak.bt23@bitsathy.ac.in")</f>
        <v>thilak.bt23@bitsathy.ac.in</v>
      </c>
      <c r="L559" s="21" t="str">
        <f>IFERROR(__xludf.DUMMYFUNCTION("XLOOKUP(B559,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""-"")"),"9944892796")</f>
        <v>9944892796</v>
      </c>
      <c r="M559" s="14" t="s">
        <v>240</v>
      </c>
      <c r="N559" s="14" t="s">
        <v>868</v>
      </c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22"/>
      <c r="AA559" s="22"/>
      <c r="AB559" s="22"/>
      <c r="AC559" s="22"/>
      <c r="AD559" s="22"/>
    </row>
    <row r="560">
      <c r="A560" s="21">
        <v>559.0</v>
      </c>
      <c r="B560" s="32" t="s">
        <v>881</v>
      </c>
      <c r="C560" s="16" t="str">
        <f>IFERROR(__xludf.DUMMYFUNCTION("XLOOKUP(B560,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""-"")"),"ABILASH  R")</f>
        <v>ABILASH  R</v>
      </c>
      <c r="D560" s="17" t="str">
        <f>IFERROR(__xludf.DUMMYFUNCTION("XLOOKUP(B560,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60" s="33" t="s">
        <v>133</v>
      </c>
      <c r="F560" s="41">
        <v>7.0</v>
      </c>
      <c r="G560" s="14" t="s">
        <v>252</v>
      </c>
      <c r="H560" s="14"/>
      <c r="I560" s="14" t="s">
        <v>136</v>
      </c>
      <c r="J560" s="14" t="s">
        <v>266</v>
      </c>
      <c r="K560" s="17" t="str">
        <f>IFERROR(__xludf.DUMMYFUNCTION("XLOOKUP(B560,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""-"")"),"abilash.mz23@bitsathy.ac.in")</f>
        <v>abilash.mz23@bitsathy.ac.in</v>
      </c>
      <c r="L560" s="21" t="str">
        <f>IFERROR(__xludf.DUMMYFUNCTION("XLOOKUP(B560,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""-"")"),"8148014243")</f>
        <v>8148014243</v>
      </c>
      <c r="M560" s="14" t="s">
        <v>71</v>
      </c>
      <c r="N560" s="14" t="s">
        <v>882</v>
      </c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22"/>
      <c r="AA560" s="22"/>
      <c r="AB560" s="22"/>
      <c r="AC560" s="22"/>
      <c r="AD560" s="22"/>
    </row>
    <row r="561">
      <c r="A561" s="21">
        <v>560.0</v>
      </c>
      <c r="B561" s="32" t="s">
        <v>173</v>
      </c>
      <c r="C561" s="16" t="str">
        <f>IFERROR(__xludf.DUMMYFUNCTION("XLOOKUP(B561,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""-"")"),"ADHAVAN SE V")</f>
        <v>ADHAVAN SE V</v>
      </c>
      <c r="D561" s="17" t="str">
        <f>IFERROR(__xludf.DUMMYFUNCTION("XLOOKUP(B561,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61" s="33" t="s">
        <v>104</v>
      </c>
      <c r="F561" s="41">
        <v>27.0</v>
      </c>
      <c r="G561" s="14" t="s">
        <v>59</v>
      </c>
      <c r="H561" s="14"/>
      <c r="I561" s="14" t="s">
        <v>62</v>
      </c>
      <c r="J561" s="14" t="s">
        <v>266</v>
      </c>
      <c r="K561" s="17" t="str">
        <f>IFERROR(__xludf.DUMMYFUNCTION("XLOOKUP(B561,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""-"")"),"adhavan.cs23@bitsathy.ac.in")</f>
        <v>adhavan.cs23@bitsathy.ac.in</v>
      </c>
      <c r="L561" s="21" t="str">
        <f>IFERROR(__xludf.DUMMYFUNCTION("XLOOKUP(B561,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""-"")"),"9486406279")</f>
        <v>9486406279</v>
      </c>
      <c r="M561" s="14" t="s">
        <v>71</v>
      </c>
      <c r="N561" s="14" t="s">
        <v>883</v>
      </c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22"/>
      <c r="AA561" s="22"/>
      <c r="AB561" s="22"/>
      <c r="AC561" s="22"/>
      <c r="AD561" s="22"/>
    </row>
    <row r="562">
      <c r="A562" s="21">
        <v>561.0</v>
      </c>
      <c r="B562" s="32" t="s">
        <v>884</v>
      </c>
      <c r="C562" s="16" t="str">
        <f>IFERROR(__xludf.DUMMYFUNCTION("XLOOKUP(B562,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""-"")"),"KISHOOR D L")</f>
        <v>KISHOOR D L</v>
      </c>
      <c r="D562" s="17" t="str">
        <f>IFERROR(__xludf.DUMMYFUNCTION("XLOOKUP(B562,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562" s="51" t="s">
        <v>166</v>
      </c>
      <c r="F562" s="14">
        <v>3.0</v>
      </c>
      <c r="G562" s="14" t="s">
        <v>59</v>
      </c>
      <c r="H562" s="34"/>
      <c r="I562" s="14" t="s">
        <v>136</v>
      </c>
      <c r="J562" s="14" t="s">
        <v>63</v>
      </c>
      <c r="K562" s="17" t="str">
        <f>IFERROR(__xludf.DUMMYFUNCTION("XLOOKUP(B562,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""-"")"),"kishoor.fd23@bitsathy.ac.in")</f>
        <v>kishoor.fd23@bitsathy.ac.in</v>
      </c>
      <c r="L562" s="21" t="str">
        <f>IFERROR(__xludf.DUMMYFUNCTION("XLOOKUP(B562,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""-"")"),"9965609554")</f>
        <v>9965609554</v>
      </c>
      <c r="M562" s="14" t="s">
        <v>240</v>
      </c>
      <c r="N562" s="14" t="s">
        <v>883</v>
      </c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22"/>
      <c r="AA562" s="22"/>
      <c r="AB562" s="22"/>
      <c r="AC562" s="22"/>
      <c r="AD562" s="22"/>
    </row>
    <row r="563">
      <c r="A563" s="14">
        <v>562.0</v>
      </c>
      <c r="B563" s="32" t="s">
        <v>885</v>
      </c>
      <c r="C563" s="16" t="str">
        <f>IFERROR(__xludf.DUMMYFUNCTION("XLOOKUP(B563,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""-"")"),"SANJAI KRISHNAN A")</f>
        <v>SANJAI KRISHNAN A</v>
      </c>
      <c r="D563" s="17" t="str">
        <f>IFERROR(__xludf.DUMMYFUNCTION("XLOOKUP(B563,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563" s="51" t="s">
        <v>184</v>
      </c>
      <c r="F563" s="14">
        <v>3.0</v>
      </c>
      <c r="G563" s="14" t="s">
        <v>59</v>
      </c>
      <c r="H563" s="34"/>
      <c r="I563" s="14" t="s">
        <v>136</v>
      </c>
      <c r="J563" s="14" t="s">
        <v>886</v>
      </c>
      <c r="K563" s="17" t="str">
        <f>IFERROR(__xludf.DUMMYFUNCTION("XLOOKUP(B563,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""-"")"),"sanjaikrishnan.mz23@bitsathy.ac.in")</f>
        <v>sanjaikrishnan.mz23@bitsathy.ac.in</v>
      </c>
      <c r="L563" s="21" t="str">
        <f>IFERROR(__xludf.DUMMYFUNCTION("XLOOKUP(B563,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""-"")"),"9865210018")</f>
        <v>9865210018</v>
      </c>
      <c r="M563" s="14" t="s">
        <v>240</v>
      </c>
      <c r="N563" s="14" t="s">
        <v>887</v>
      </c>
      <c r="O563" s="14" t="s">
        <v>857</v>
      </c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22"/>
      <c r="AA563" s="22"/>
      <c r="AB563" s="22"/>
      <c r="AC563" s="22"/>
      <c r="AD563" s="22"/>
    </row>
    <row r="564">
      <c r="A564" s="21">
        <v>563.0</v>
      </c>
      <c r="B564" s="32" t="s">
        <v>616</v>
      </c>
      <c r="C564" s="16" t="str">
        <f>IFERROR(__xludf.DUMMYFUNCTION("XLOOKUP(B564,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""-"")"),"GUNANIHIL N")</f>
        <v>GUNANIHIL N</v>
      </c>
      <c r="D564" s="17" t="str">
        <f>IFERROR(__xludf.DUMMYFUNCTION("XLOOKUP(B564,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64" s="51" t="s">
        <v>108</v>
      </c>
      <c r="F564" s="41">
        <v>4.0</v>
      </c>
      <c r="G564" s="14" t="s">
        <v>252</v>
      </c>
      <c r="H564" s="34"/>
      <c r="I564" s="14" t="s">
        <v>432</v>
      </c>
      <c r="J564" s="14" t="s">
        <v>886</v>
      </c>
      <c r="K564" s="17" t="str">
        <f>IFERROR(__xludf.DUMMYFUNCTION("XLOOKUP(B564,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""-"")"),"gunanihil.cs23@bitsathy.ac.in")</f>
        <v>gunanihil.cs23@bitsathy.ac.in</v>
      </c>
      <c r="L564" s="21" t="str">
        <f>IFERROR(__xludf.DUMMYFUNCTION("XLOOKUP(B564,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""-"")"),"7695862878")</f>
        <v>7695862878</v>
      </c>
      <c r="M564" s="14" t="s">
        <v>71</v>
      </c>
      <c r="N564" s="14" t="s">
        <v>857</v>
      </c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22"/>
      <c r="AA564" s="22"/>
      <c r="AB564" s="22"/>
      <c r="AC564" s="22"/>
      <c r="AD564" s="22"/>
    </row>
    <row r="565">
      <c r="A565" s="14">
        <v>564.0</v>
      </c>
      <c r="B565" s="32" t="s">
        <v>888</v>
      </c>
      <c r="C565" s="16" t="str">
        <f>IFERROR(__xludf.DUMMYFUNCTION("XLOOKUP(B565,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""-"")"),"GOKUL PRASATH S")</f>
        <v>GOKUL PRASATH S</v>
      </c>
      <c r="D565" s="17" t="str">
        <f>IFERROR(__xludf.DUMMYFUNCTION("XLOOKUP(B565,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65" s="51" t="s">
        <v>108</v>
      </c>
      <c r="F565" s="41">
        <v>4.0</v>
      </c>
      <c r="G565" s="14" t="s">
        <v>252</v>
      </c>
      <c r="H565" s="34"/>
      <c r="I565" s="14" t="s">
        <v>432</v>
      </c>
      <c r="J565" s="14" t="s">
        <v>886</v>
      </c>
      <c r="K565" s="17" t="str">
        <f>IFERROR(__xludf.DUMMYFUNCTION("XLOOKUP(B565,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""-"")"),"gokulprasath.ec23@bitsathy.ac.in")</f>
        <v>gokulprasath.ec23@bitsathy.ac.in</v>
      </c>
      <c r="L565" s="21" t="str">
        <f>IFERROR(__xludf.DUMMYFUNCTION("XLOOKUP(B565,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""-"")"),"8675905656")</f>
        <v>8675905656</v>
      </c>
      <c r="M565" s="14" t="s">
        <v>71</v>
      </c>
      <c r="N565" s="14" t="s">
        <v>857</v>
      </c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22"/>
      <c r="AA565" s="22"/>
      <c r="AB565" s="22"/>
      <c r="AC565" s="22"/>
      <c r="AD565" s="22"/>
    </row>
    <row r="566">
      <c r="A566" s="21">
        <v>565.0</v>
      </c>
      <c r="B566" s="32" t="s">
        <v>889</v>
      </c>
      <c r="C566" s="16" t="str">
        <f>IFERROR(__xludf.DUMMYFUNCTION("XLOOKUP(B566,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""-"")"),"MAGILESH R U")</f>
        <v>MAGILESH R U</v>
      </c>
      <c r="D566" s="17" t="str">
        <f>IFERROR(__xludf.DUMMYFUNCTION("XLOOKUP(B566,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566" s="51" t="s">
        <v>108</v>
      </c>
      <c r="F566" s="41">
        <v>4.0</v>
      </c>
      <c r="G566" s="14" t="s">
        <v>252</v>
      </c>
      <c r="H566" s="34"/>
      <c r="I566" s="14" t="s">
        <v>432</v>
      </c>
      <c r="J566" s="14" t="s">
        <v>886</v>
      </c>
      <c r="K566" s="17" t="str">
        <f>IFERROR(__xludf.DUMMYFUNCTION("XLOOKUP(B566,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""-"")"),"magilesh.ei23@bitsathy.ac.in")</f>
        <v>magilesh.ei23@bitsathy.ac.in</v>
      </c>
      <c r="L566" s="21" t="str">
        <f>IFERROR(__xludf.DUMMYFUNCTION("XLOOKUP(B566,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""-"")"),"8148030241")</f>
        <v>8148030241</v>
      </c>
      <c r="M566" s="14" t="s">
        <v>71</v>
      </c>
      <c r="N566" s="14" t="s">
        <v>857</v>
      </c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22"/>
      <c r="AA566" s="22"/>
      <c r="AB566" s="22"/>
      <c r="AC566" s="22"/>
      <c r="AD566" s="22"/>
    </row>
    <row r="567">
      <c r="A567" s="14">
        <v>566.0</v>
      </c>
      <c r="B567" s="32" t="s">
        <v>527</v>
      </c>
      <c r="C567" s="16" t="str">
        <f>IFERROR(__xludf.DUMMYFUNCTION("XLOOKUP(B567,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""-"")"),"DHARSHINI S")</f>
        <v>DHARSHINI S</v>
      </c>
      <c r="D567" s="17" t="str">
        <f>IFERROR(__xludf.DUMMYFUNCTION("XLOOKUP(B567,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67" s="51" t="s">
        <v>108</v>
      </c>
      <c r="F567" s="41">
        <v>4.0</v>
      </c>
      <c r="G567" s="14" t="s">
        <v>252</v>
      </c>
      <c r="H567" s="34"/>
      <c r="I567" s="14" t="s">
        <v>432</v>
      </c>
      <c r="J567" s="14" t="s">
        <v>886</v>
      </c>
      <c r="K567" s="17" t="str">
        <f>IFERROR(__xludf.DUMMYFUNCTION("XLOOKUP(B567,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""-"")"),"dharshini.cb23@bitsathy.ac.in")</f>
        <v>dharshini.cb23@bitsathy.ac.in</v>
      </c>
      <c r="L567" s="21" t="str">
        <f>IFERROR(__xludf.DUMMYFUNCTION("XLOOKUP(B567,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""-"")"),"6382913767")</f>
        <v>6382913767</v>
      </c>
      <c r="M567" s="14" t="s">
        <v>71</v>
      </c>
      <c r="N567" s="14" t="s">
        <v>857</v>
      </c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22"/>
      <c r="AA567" s="22"/>
      <c r="AB567" s="22"/>
      <c r="AC567" s="22"/>
      <c r="AD567" s="22"/>
    </row>
    <row r="568">
      <c r="A568" s="21">
        <v>567.0</v>
      </c>
      <c r="B568" s="32" t="s">
        <v>890</v>
      </c>
      <c r="C568" s="16" t="str">
        <f>IFERROR(__xludf.DUMMYFUNCTION("XLOOKUP(B568,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""-"")"),"KAVINESWAR S")</f>
        <v>KAVINESWAR S</v>
      </c>
      <c r="D568" s="17" t="str">
        <f>IFERROR(__xludf.DUMMYFUNCTION("XLOOKUP(B568,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68" s="51" t="s">
        <v>108</v>
      </c>
      <c r="F568" s="41">
        <v>4.0</v>
      </c>
      <c r="G568" s="14" t="s">
        <v>252</v>
      </c>
      <c r="H568" s="34"/>
      <c r="I568" s="14" t="s">
        <v>432</v>
      </c>
      <c r="J568" s="14" t="s">
        <v>886</v>
      </c>
      <c r="K568" s="17" t="str">
        <f>IFERROR(__xludf.DUMMYFUNCTION("XLOOKUP(B568,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""-"")"),"kavineswar.cs23@bitsathy.ac.in")</f>
        <v>kavineswar.cs23@bitsathy.ac.in</v>
      </c>
      <c r="L568" s="21" t="str">
        <f>IFERROR(__xludf.DUMMYFUNCTION("XLOOKUP(B568,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""-"")"),"7603801410")</f>
        <v>7603801410</v>
      </c>
      <c r="M568" s="14" t="s">
        <v>71</v>
      </c>
      <c r="N568" s="14" t="s">
        <v>857</v>
      </c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22"/>
      <c r="AA568" s="22"/>
      <c r="AB568" s="22"/>
      <c r="AC568" s="22"/>
      <c r="AD568" s="22"/>
    </row>
    <row r="569">
      <c r="A569" s="14">
        <v>568.0</v>
      </c>
      <c r="B569" s="32" t="s">
        <v>891</v>
      </c>
      <c r="C569" s="16" t="str">
        <f>IFERROR(__xludf.DUMMYFUNCTION("XLOOKUP(B569,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""-"")"),"RANJANI G")</f>
        <v>RANJANI G</v>
      </c>
      <c r="D569" s="17" t="str">
        <f>IFERROR(__xludf.DUMMYFUNCTION("XLOOKUP(B569,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69" s="51" t="s">
        <v>108</v>
      </c>
      <c r="F569" s="41">
        <v>4.0</v>
      </c>
      <c r="G569" s="14" t="s">
        <v>252</v>
      </c>
      <c r="H569" s="34"/>
      <c r="I569" s="14" t="s">
        <v>432</v>
      </c>
      <c r="J569" s="14" t="s">
        <v>886</v>
      </c>
      <c r="K569" s="17" t="str">
        <f>IFERROR(__xludf.DUMMYFUNCTION("XLOOKUP(B569,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""-"")"),"ranjani.cs23@bitsathy.ac.in")</f>
        <v>ranjani.cs23@bitsathy.ac.in</v>
      </c>
      <c r="L569" s="21" t="str">
        <f>IFERROR(__xludf.DUMMYFUNCTION("XLOOKUP(B569,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""-"")"),"9894985209")</f>
        <v>9894985209</v>
      </c>
      <c r="M569" s="14" t="s">
        <v>71</v>
      </c>
      <c r="N569" s="14" t="s">
        <v>857</v>
      </c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22"/>
      <c r="AA569" s="22"/>
      <c r="AB569" s="22"/>
      <c r="AC569" s="22"/>
      <c r="AD569" s="22"/>
    </row>
    <row r="570">
      <c r="A570" s="21">
        <v>569.0</v>
      </c>
      <c r="B570" s="32" t="s">
        <v>892</v>
      </c>
      <c r="C570" s="16" t="str">
        <f>IFERROR(__xludf.DUMMYFUNCTION("XLOOKUP(B570,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""-"")"),"PROUSIKA  P N")</f>
        <v>PROUSIKA  P N</v>
      </c>
      <c r="D570" s="17" t="str">
        <f>IFERROR(__xludf.DUMMYFUNCTION("XLOOKUP(B570,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70" s="51" t="s">
        <v>108</v>
      </c>
      <c r="F570" s="41">
        <v>4.0</v>
      </c>
      <c r="G570" s="14" t="s">
        <v>252</v>
      </c>
      <c r="H570" s="34"/>
      <c r="I570" s="14" t="s">
        <v>432</v>
      </c>
      <c r="J570" s="14" t="s">
        <v>886</v>
      </c>
      <c r="K570" s="17" t="str">
        <f>IFERROR(__xludf.DUMMYFUNCTION("XLOOKUP(B570,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""-"")"),"prousika.cs23@bitsathy.ac.in")</f>
        <v>prousika.cs23@bitsathy.ac.in</v>
      </c>
      <c r="L570" s="21" t="str">
        <f>IFERROR(__xludf.DUMMYFUNCTION("XLOOKUP(B570,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""-"")"),"9751175002")</f>
        <v>9751175002</v>
      </c>
      <c r="M570" s="14" t="s">
        <v>71</v>
      </c>
      <c r="N570" s="14" t="s">
        <v>857</v>
      </c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22"/>
      <c r="AA570" s="22"/>
      <c r="AB570" s="22"/>
      <c r="AC570" s="22"/>
      <c r="AD570" s="22"/>
    </row>
    <row r="571">
      <c r="A571" s="14">
        <v>570.0</v>
      </c>
      <c r="B571" s="32" t="s">
        <v>591</v>
      </c>
      <c r="C571" s="16" t="str">
        <f>IFERROR(__xludf.DUMMYFUNCTION("XLOOKUP(B571,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""-"")"),"SHARVESH G")</f>
        <v>SHARVESH G</v>
      </c>
      <c r="D571" s="17" t="str">
        <f>IFERROR(__xludf.DUMMYFUNCTION("XLOOKUP(B571,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71" s="51" t="s">
        <v>108</v>
      </c>
      <c r="F571" s="41">
        <v>4.0</v>
      </c>
      <c r="G571" s="14" t="s">
        <v>252</v>
      </c>
      <c r="H571" s="34"/>
      <c r="I571" s="14" t="s">
        <v>432</v>
      </c>
      <c r="J571" s="14" t="s">
        <v>886</v>
      </c>
      <c r="K571" s="17" t="str">
        <f>IFERROR(__xludf.DUMMYFUNCTION("XLOOKUP(B571,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""-"")"),"sharveshg.ad23@bitsathy.ac.in")</f>
        <v>sharveshg.ad23@bitsathy.ac.in</v>
      </c>
      <c r="L571" s="21" t="str">
        <f>IFERROR(__xludf.DUMMYFUNCTION("XLOOKUP(B571,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""-"")"),"6379932980")</f>
        <v>6379932980</v>
      </c>
      <c r="M571" s="14" t="s">
        <v>71</v>
      </c>
      <c r="N571" s="14" t="s">
        <v>857</v>
      </c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22"/>
      <c r="AA571" s="22"/>
      <c r="AB571" s="22"/>
      <c r="AC571" s="22"/>
      <c r="AD571" s="22"/>
    </row>
    <row r="572">
      <c r="A572" s="21">
        <v>571.0</v>
      </c>
      <c r="B572" s="32" t="s">
        <v>893</v>
      </c>
      <c r="C572" s="16" t="str">
        <f>IFERROR(__xludf.DUMMYFUNCTION("XLOOKUP(B572,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""-"")"),"RAKSHANA S")</f>
        <v>RAKSHANA S</v>
      </c>
      <c r="D572" s="17" t="str">
        <f>IFERROR(__xludf.DUMMYFUNCTION("XLOOKUP(B572,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72" s="51" t="s">
        <v>108</v>
      </c>
      <c r="F572" s="41">
        <v>4.0</v>
      </c>
      <c r="G572" s="14" t="s">
        <v>252</v>
      </c>
      <c r="H572" s="34"/>
      <c r="I572" s="14" t="s">
        <v>432</v>
      </c>
      <c r="J572" s="14" t="s">
        <v>886</v>
      </c>
      <c r="K572" s="17" t="str">
        <f>IFERROR(__xludf.DUMMYFUNCTION("XLOOKUP(B572,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""-"")"),"rakshana.cs23@bitsathy.ac.in")</f>
        <v>rakshana.cs23@bitsathy.ac.in</v>
      </c>
      <c r="L572" s="21" t="str">
        <f>IFERROR(__xludf.DUMMYFUNCTION("XLOOKUP(B572,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""-"")"),"9043831328")</f>
        <v>9043831328</v>
      </c>
      <c r="M572" s="14" t="s">
        <v>71</v>
      </c>
      <c r="N572" s="14" t="s">
        <v>857</v>
      </c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22"/>
      <c r="AA572" s="22"/>
      <c r="AB572" s="22"/>
      <c r="AC572" s="22"/>
      <c r="AD572" s="22"/>
    </row>
    <row r="573">
      <c r="A573" s="14">
        <v>572.0</v>
      </c>
      <c r="B573" s="32" t="s">
        <v>894</v>
      </c>
      <c r="C573" s="16" t="str">
        <f>IFERROR(__xludf.DUMMYFUNCTION("XLOOKUP(B573,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""-"")"),"PRADHAKSHINA S")</f>
        <v>PRADHAKSHINA S</v>
      </c>
      <c r="D573" s="17" t="str">
        <f>IFERROR(__xludf.DUMMYFUNCTION("XLOOKUP(B573,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73" s="51" t="s">
        <v>108</v>
      </c>
      <c r="F573" s="41">
        <v>4.0</v>
      </c>
      <c r="G573" s="14" t="s">
        <v>252</v>
      </c>
      <c r="H573" s="34"/>
      <c r="I573" s="14" t="s">
        <v>432</v>
      </c>
      <c r="J573" s="14" t="s">
        <v>886</v>
      </c>
      <c r="K573" s="17" t="str">
        <f>IFERROR(__xludf.DUMMYFUNCTION("XLOOKUP(B573,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""-"")"),"pradhakshina.cs23@bitsathy.ac.in")</f>
        <v>pradhakshina.cs23@bitsathy.ac.in</v>
      </c>
      <c r="L573" s="21" t="str">
        <f>IFERROR(__xludf.DUMMYFUNCTION("XLOOKUP(B573,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""-"")"),"9894722673")</f>
        <v>9894722673</v>
      </c>
      <c r="M573" s="14" t="s">
        <v>71</v>
      </c>
      <c r="N573" s="14" t="s">
        <v>857</v>
      </c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22"/>
      <c r="AA573" s="22"/>
      <c r="AB573" s="22"/>
      <c r="AC573" s="22"/>
      <c r="AD573" s="22"/>
    </row>
    <row r="574">
      <c r="A574" s="21">
        <v>573.0</v>
      </c>
      <c r="B574" s="32" t="s">
        <v>895</v>
      </c>
      <c r="C574" s="16" t="str">
        <f>IFERROR(__xludf.DUMMYFUNCTION("XLOOKUP(B574,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""-"")"),"HARIESH  R")</f>
        <v>HARIESH  R</v>
      </c>
      <c r="D574" s="17" t="str">
        <f>IFERROR(__xludf.DUMMYFUNCTION("XLOOKUP(B574,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574" s="51" t="s">
        <v>108</v>
      </c>
      <c r="F574" s="41">
        <v>4.0</v>
      </c>
      <c r="G574" s="14" t="s">
        <v>252</v>
      </c>
      <c r="H574" s="34"/>
      <c r="I574" s="14" t="s">
        <v>432</v>
      </c>
      <c r="J574" s="14" t="s">
        <v>886</v>
      </c>
      <c r="K574" s="17" t="str">
        <f>IFERROR(__xludf.DUMMYFUNCTION("XLOOKUP(B574,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""-"")"),"hariesh.al23@bitsathy.ac.in")</f>
        <v>hariesh.al23@bitsathy.ac.in</v>
      </c>
      <c r="L574" s="21" t="str">
        <f>IFERROR(__xludf.DUMMYFUNCTION("XLOOKUP(B574,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""-"")"),"8667643389")</f>
        <v>8667643389</v>
      </c>
      <c r="M574" s="14" t="s">
        <v>71</v>
      </c>
      <c r="N574" s="14" t="s">
        <v>857</v>
      </c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22"/>
      <c r="AA574" s="22"/>
      <c r="AB574" s="22"/>
      <c r="AC574" s="22"/>
      <c r="AD574" s="22"/>
    </row>
    <row r="575">
      <c r="A575" s="14">
        <v>574.0</v>
      </c>
      <c r="B575" s="32" t="s">
        <v>539</v>
      </c>
      <c r="C575" s="16" t="str">
        <f>IFERROR(__xludf.DUMMYFUNCTION("XLOOKUP(B575,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""-"")"),"SUBIKSHA M")</f>
        <v>SUBIKSHA M</v>
      </c>
      <c r="D575" s="17" t="str">
        <f>IFERROR(__xludf.DUMMYFUNCTION("XLOOKUP(B575,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575" s="51" t="s">
        <v>108</v>
      </c>
      <c r="F575" s="41">
        <v>4.0</v>
      </c>
      <c r="G575" s="14" t="s">
        <v>252</v>
      </c>
      <c r="H575" s="34"/>
      <c r="I575" s="14" t="s">
        <v>432</v>
      </c>
      <c r="J575" s="14" t="s">
        <v>886</v>
      </c>
      <c r="K575" s="17" t="str">
        <f>IFERROR(__xludf.DUMMYFUNCTION("XLOOKUP(B575,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""-"")"),"subiksham.al23@bitsathy.ac.in")</f>
        <v>subiksham.al23@bitsathy.ac.in</v>
      </c>
      <c r="L575" s="21" t="str">
        <f>IFERROR(__xludf.DUMMYFUNCTION("XLOOKUP(B575,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""-"")"),"9345750762")</f>
        <v>9345750762</v>
      </c>
      <c r="M575" s="14" t="s">
        <v>71</v>
      </c>
      <c r="N575" s="14" t="s">
        <v>857</v>
      </c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22"/>
      <c r="AA575" s="22"/>
      <c r="AB575" s="22"/>
      <c r="AC575" s="22"/>
      <c r="AD575" s="22"/>
    </row>
    <row r="576">
      <c r="A576" s="14">
        <v>575.0</v>
      </c>
      <c r="B576" s="32" t="s">
        <v>313</v>
      </c>
      <c r="C576" s="16" t="str">
        <f>IFERROR(__xludf.DUMMYFUNCTION("XLOOKUP(B576,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""-"")"),"SURYA KUMAR T")</f>
        <v>SURYA KUMAR T</v>
      </c>
      <c r="D576" s="17" t="str">
        <f>IFERROR(__xludf.DUMMYFUNCTION("XLOOKUP(B576,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576" s="51" t="s">
        <v>108</v>
      </c>
      <c r="F576" s="41">
        <v>4.0</v>
      </c>
      <c r="G576" s="14" t="s">
        <v>252</v>
      </c>
      <c r="H576" s="34"/>
      <c r="I576" s="14" t="s">
        <v>432</v>
      </c>
      <c r="J576" s="14" t="s">
        <v>886</v>
      </c>
      <c r="K576" s="17" t="str">
        <f>IFERROR(__xludf.DUMMYFUNCTION("XLOOKUP(B576,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""-"")"),"suryakumar.cb23@bitsathy.ac.in")</f>
        <v>suryakumar.cb23@bitsathy.ac.in</v>
      </c>
      <c r="L576" s="21" t="str">
        <f>IFERROR(__xludf.DUMMYFUNCTION("XLOOKUP(B576,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""-"")"),"9344164833")</f>
        <v>9344164833</v>
      </c>
      <c r="M576" s="14" t="s">
        <v>71</v>
      </c>
      <c r="N576" s="14" t="s">
        <v>857</v>
      </c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22"/>
      <c r="AA576" s="22"/>
      <c r="AB576" s="22"/>
      <c r="AC576" s="22"/>
      <c r="AD576" s="22"/>
    </row>
    <row r="577">
      <c r="A577" s="14">
        <v>576.0</v>
      </c>
      <c r="B577" s="32" t="s">
        <v>734</v>
      </c>
      <c r="C577" s="16" t="str">
        <f>IFERROR(__xludf.DUMMYFUNCTION("XLOOKUP(B577,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""-"")"),"MOHANA KRISHNA K J")</f>
        <v>MOHANA KRISHNA K J</v>
      </c>
      <c r="D577" s="17" t="str">
        <f>IFERROR(__xludf.DUMMYFUNCTION("XLOOKUP(B577,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577" s="51" t="s">
        <v>108</v>
      </c>
      <c r="F577" s="41">
        <v>4.0</v>
      </c>
      <c r="G577" s="14" t="s">
        <v>252</v>
      </c>
      <c r="H577" s="34"/>
      <c r="I577" s="14" t="s">
        <v>432</v>
      </c>
      <c r="J577" s="14" t="s">
        <v>886</v>
      </c>
      <c r="K577" s="17" t="str">
        <f>IFERROR(__xludf.DUMMYFUNCTION("XLOOKUP(B577,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""-"")"),"mohanakrishna.ct23@bitsathy.ac.in")</f>
        <v>mohanakrishna.ct23@bitsathy.ac.in</v>
      </c>
      <c r="L577" s="21" t="str">
        <f>IFERROR(__xludf.DUMMYFUNCTION("XLOOKUP(B577,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""-"")"),"9360839549")</f>
        <v>9360839549</v>
      </c>
      <c r="M577" s="14" t="s">
        <v>71</v>
      </c>
      <c r="N577" s="14" t="s">
        <v>857</v>
      </c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22"/>
      <c r="AA577" s="22"/>
      <c r="AB577" s="22"/>
      <c r="AC577" s="22"/>
      <c r="AD577" s="22"/>
    </row>
    <row r="578">
      <c r="A578" s="14">
        <v>577.0</v>
      </c>
      <c r="B578" s="32" t="s">
        <v>644</v>
      </c>
      <c r="C578" s="16" t="str">
        <f>IFERROR(__xludf.DUMMYFUNCTION("XLOOKUP(B578,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""-"")"),"NADISH  N")</f>
        <v>NADISH  N</v>
      </c>
      <c r="D578" s="17" t="str">
        <f>IFERROR(__xludf.DUMMYFUNCTION("XLOOKUP(B578,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78" s="51" t="s">
        <v>108</v>
      </c>
      <c r="F578" s="41">
        <v>4.0</v>
      </c>
      <c r="G578" s="14" t="s">
        <v>252</v>
      </c>
      <c r="H578" s="34"/>
      <c r="I578" s="14" t="s">
        <v>432</v>
      </c>
      <c r="J578" s="14" t="s">
        <v>886</v>
      </c>
      <c r="K578" s="17" t="str">
        <f>IFERROR(__xludf.DUMMYFUNCTION("XLOOKUP(B578,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""-"")"),"nadish.it23@bitsathy.ac.in")</f>
        <v>nadish.it23@bitsathy.ac.in</v>
      </c>
      <c r="L578" s="21" t="str">
        <f>IFERROR(__xludf.DUMMYFUNCTION("XLOOKUP(B578,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""-"")"),"9080894916")</f>
        <v>9080894916</v>
      </c>
      <c r="M578" s="14" t="s">
        <v>71</v>
      </c>
      <c r="N578" s="14" t="s">
        <v>857</v>
      </c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22"/>
      <c r="AA578" s="22"/>
      <c r="AB578" s="22"/>
      <c r="AC578" s="22"/>
      <c r="AD578" s="22"/>
    </row>
    <row r="579">
      <c r="A579" s="14">
        <v>578.0</v>
      </c>
      <c r="B579" s="32" t="s">
        <v>580</v>
      </c>
      <c r="C579" s="16" t="str">
        <f>IFERROR(__xludf.DUMMYFUNCTION("XLOOKUP(B579,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""-"")"),"SHANMUGA VIJAY T")</f>
        <v>SHANMUGA VIJAY T</v>
      </c>
      <c r="D579" s="17" t="str">
        <f>IFERROR(__xludf.DUMMYFUNCTION("XLOOKUP(B579,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79" s="51" t="s">
        <v>108</v>
      </c>
      <c r="F579" s="41">
        <v>4.0</v>
      </c>
      <c r="G579" s="14" t="s">
        <v>252</v>
      </c>
      <c r="H579" s="34"/>
      <c r="I579" s="14" t="s">
        <v>432</v>
      </c>
      <c r="J579" s="14" t="s">
        <v>886</v>
      </c>
      <c r="K579" s="17" t="str">
        <f>IFERROR(__xludf.DUMMYFUNCTION("XLOOKUP(B579,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""-"")"),"shanmugavijay.cs23@bitsathy.ac.in")</f>
        <v>shanmugavijay.cs23@bitsathy.ac.in</v>
      </c>
      <c r="L579" s="21" t="str">
        <f>IFERROR(__xludf.DUMMYFUNCTION("XLOOKUP(B579,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""-"")"),"6374245258")</f>
        <v>6374245258</v>
      </c>
      <c r="M579" s="14" t="s">
        <v>71</v>
      </c>
      <c r="N579" s="14" t="s">
        <v>857</v>
      </c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22"/>
      <c r="AA579" s="22"/>
      <c r="AB579" s="22"/>
      <c r="AC579" s="22"/>
      <c r="AD579" s="22"/>
    </row>
    <row r="580">
      <c r="A580" s="14">
        <v>579.0</v>
      </c>
      <c r="B580" s="32" t="s">
        <v>896</v>
      </c>
      <c r="C580" s="16" t="str">
        <f>IFERROR(__xludf.DUMMYFUNCTION("XLOOKUP(B580,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""-"")"),"BHAVATARINI S")</f>
        <v>BHAVATARINI S</v>
      </c>
      <c r="D580" s="17" t="str">
        <f>IFERROR(__xludf.DUMMYFUNCTION("XLOOKUP(B580,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80" s="51" t="s">
        <v>108</v>
      </c>
      <c r="F580" s="41">
        <v>4.0</v>
      </c>
      <c r="G580" s="14" t="s">
        <v>252</v>
      </c>
      <c r="H580" s="34"/>
      <c r="I580" s="14" t="s">
        <v>432</v>
      </c>
      <c r="J580" s="14" t="s">
        <v>886</v>
      </c>
      <c r="K580" s="17" t="str">
        <f>IFERROR(__xludf.DUMMYFUNCTION("XLOOKUP(B580,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""-"")"),"bhavatarini.it23@bitsathy.ac.in")</f>
        <v>bhavatarini.it23@bitsathy.ac.in</v>
      </c>
      <c r="L580" s="21" t="str">
        <f>IFERROR(__xludf.DUMMYFUNCTION("XLOOKUP(B580,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""-"")"),"9843177269")</f>
        <v>9843177269</v>
      </c>
      <c r="M580" s="14" t="s">
        <v>71</v>
      </c>
      <c r="N580" s="14" t="s">
        <v>857</v>
      </c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22"/>
      <c r="AA580" s="22"/>
      <c r="AB580" s="22"/>
      <c r="AC580" s="22"/>
      <c r="AD580" s="22"/>
    </row>
    <row r="581">
      <c r="A581" s="14">
        <v>580.0</v>
      </c>
      <c r="B581" s="32" t="s">
        <v>897</v>
      </c>
      <c r="C581" s="16" t="str">
        <f>IFERROR(__xludf.DUMMYFUNCTION("XLOOKUP(B581,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""-"")"),"SANDHYAA  K")</f>
        <v>SANDHYAA  K</v>
      </c>
      <c r="D581" s="17" t="str">
        <f>IFERROR(__xludf.DUMMYFUNCTION("XLOOKUP(B581,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581" s="51" t="s">
        <v>108</v>
      </c>
      <c r="F581" s="41">
        <v>4.0</v>
      </c>
      <c r="G581" s="14" t="s">
        <v>252</v>
      </c>
      <c r="H581" s="34"/>
      <c r="I581" s="14" t="s">
        <v>432</v>
      </c>
      <c r="J581" s="14" t="s">
        <v>886</v>
      </c>
      <c r="K581" s="17" t="str">
        <f>IFERROR(__xludf.DUMMYFUNCTION("XLOOKUP(B581,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""-"")"),"sandhyaa.ad23@bitsathy.ac.in")</f>
        <v>sandhyaa.ad23@bitsathy.ac.in</v>
      </c>
      <c r="L581" s="21" t="str">
        <f>IFERROR(__xludf.DUMMYFUNCTION("XLOOKUP(B581,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""-"")"),"9600736309")</f>
        <v>9600736309</v>
      </c>
      <c r="M581" s="14" t="s">
        <v>71</v>
      </c>
      <c r="N581" s="14" t="s">
        <v>857</v>
      </c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22"/>
      <c r="AA581" s="22"/>
      <c r="AB581" s="22"/>
      <c r="AC581" s="22"/>
      <c r="AD581" s="22"/>
    </row>
    <row r="582">
      <c r="A582" s="14">
        <v>581.0</v>
      </c>
      <c r="B582" s="32" t="s">
        <v>898</v>
      </c>
      <c r="C582" s="16" t="str">
        <f>IFERROR(__xludf.DUMMYFUNCTION("XLOOKUP(B582,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""-"")"),"AHILL PRANAV M")</f>
        <v>AHILL PRANAV M</v>
      </c>
      <c r="D582" s="17" t="str">
        <f>IFERROR(__xludf.DUMMYFUNCTION("XLOOKUP(B582,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582" s="51" t="s">
        <v>108</v>
      </c>
      <c r="F582" s="41">
        <v>4.0</v>
      </c>
      <c r="G582" s="14" t="s">
        <v>252</v>
      </c>
      <c r="H582" s="34"/>
      <c r="I582" s="14" t="s">
        <v>432</v>
      </c>
      <c r="J582" s="14" t="s">
        <v>886</v>
      </c>
      <c r="K582" s="17" t="str">
        <f>IFERROR(__xludf.DUMMYFUNCTION("XLOOKUP(B582,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""-"")"),"ahillpranav.ct23@bitsathy.ac.in")</f>
        <v>ahillpranav.ct23@bitsathy.ac.in</v>
      </c>
      <c r="L582" s="21" t="str">
        <f>IFERROR(__xludf.DUMMYFUNCTION("XLOOKUP(B582,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""-"")"),"9940911411")</f>
        <v>9940911411</v>
      </c>
      <c r="M582" s="14" t="s">
        <v>71</v>
      </c>
      <c r="N582" s="14" t="s">
        <v>857</v>
      </c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22"/>
      <c r="AA582" s="22"/>
      <c r="AB582" s="22"/>
      <c r="AC582" s="22"/>
      <c r="AD582" s="22"/>
    </row>
    <row r="583">
      <c r="A583" s="14">
        <v>582.0</v>
      </c>
      <c r="B583" s="32" t="s">
        <v>899</v>
      </c>
      <c r="C583" s="16" t="str">
        <f>IFERROR(__xludf.DUMMYFUNCTION("XLOOKUP(B583,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""-"")"),"THANUSHA A")</f>
        <v>THANUSHA A</v>
      </c>
      <c r="D583" s="17" t="str">
        <f>IFERROR(__xludf.DUMMYFUNCTION("XLOOKUP(B583,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83" s="51" t="s">
        <v>108</v>
      </c>
      <c r="F583" s="41">
        <v>4.0</v>
      </c>
      <c r="G583" s="14" t="s">
        <v>252</v>
      </c>
      <c r="H583" s="34"/>
      <c r="I583" s="14" t="s">
        <v>432</v>
      </c>
      <c r="J583" s="14" t="s">
        <v>886</v>
      </c>
      <c r="K583" s="17" t="str">
        <f>IFERROR(__xludf.DUMMYFUNCTION("XLOOKUP(B583,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""-"")"),"thanusha.cs23@bitsathy.ac.in")</f>
        <v>thanusha.cs23@bitsathy.ac.in</v>
      </c>
      <c r="L583" s="21" t="str">
        <f>IFERROR(__xludf.DUMMYFUNCTION("XLOOKUP(B583,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""-"")"),"8248680694")</f>
        <v>8248680694</v>
      </c>
      <c r="M583" s="14" t="s">
        <v>71</v>
      </c>
      <c r="N583" s="14" t="s">
        <v>857</v>
      </c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22"/>
      <c r="AA583" s="22"/>
      <c r="AB583" s="22"/>
      <c r="AC583" s="22"/>
      <c r="AD583" s="22"/>
    </row>
    <row r="584">
      <c r="A584" s="14">
        <v>583.0</v>
      </c>
      <c r="B584" s="32" t="s">
        <v>900</v>
      </c>
      <c r="C584" s="16" t="str">
        <f>IFERROR(__xludf.DUMMYFUNCTION("XLOOKUP(B584,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""-"")"),"RITHIN R S")</f>
        <v>RITHIN R S</v>
      </c>
      <c r="D584" s="17" t="str">
        <f>IFERROR(__xludf.DUMMYFUNCTION("XLOOKUP(B584,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84" s="51" t="s">
        <v>108</v>
      </c>
      <c r="F584" s="41">
        <v>4.0</v>
      </c>
      <c r="G584" s="14" t="s">
        <v>252</v>
      </c>
      <c r="H584" s="34"/>
      <c r="I584" s="14" t="s">
        <v>432</v>
      </c>
      <c r="J584" s="14" t="s">
        <v>886</v>
      </c>
      <c r="K584" s="17" t="str">
        <f>IFERROR(__xludf.DUMMYFUNCTION("XLOOKUP(B584,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""-"")"),"rithin.ec23@bitsathy.ac.in")</f>
        <v>rithin.ec23@bitsathy.ac.in</v>
      </c>
      <c r="L584" s="21" t="str">
        <f>IFERROR(__xludf.DUMMYFUNCTION("XLOOKUP(B584,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""-"")"),"9042376407")</f>
        <v>9042376407</v>
      </c>
      <c r="M584" s="14" t="s">
        <v>71</v>
      </c>
      <c r="N584" s="14" t="s">
        <v>857</v>
      </c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22"/>
      <c r="AA584" s="22"/>
      <c r="AB584" s="22"/>
      <c r="AC584" s="22"/>
      <c r="AD584" s="22"/>
    </row>
    <row r="585">
      <c r="A585" s="14">
        <v>584.0</v>
      </c>
      <c r="B585" s="32" t="s">
        <v>901</v>
      </c>
      <c r="C585" s="16" t="str">
        <f>IFERROR(__xludf.DUMMYFUNCTION("XLOOKUP(B585,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""-"")"),"SUBASHCHANDRA M")</f>
        <v>SUBASHCHANDRA M</v>
      </c>
      <c r="D585" s="17" t="str">
        <f>IFERROR(__xludf.DUMMYFUNCTION("XLOOKUP(B585,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585" s="51" t="s">
        <v>108</v>
      </c>
      <c r="F585" s="41">
        <v>4.0</v>
      </c>
      <c r="G585" s="14" t="s">
        <v>252</v>
      </c>
      <c r="H585" s="34"/>
      <c r="I585" s="14" t="s">
        <v>432</v>
      </c>
      <c r="J585" s="14" t="s">
        <v>886</v>
      </c>
      <c r="K585" s="17" t="str">
        <f>IFERROR(__xludf.DUMMYFUNCTION("XLOOKUP(B585,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""-"")"),"subashchandra.cd23@bitsathy.ac.in")</f>
        <v>subashchandra.cd23@bitsathy.ac.in</v>
      </c>
      <c r="L585" s="21" t="str">
        <f>IFERROR(__xludf.DUMMYFUNCTION("XLOOKUP(B585,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""-"")"),"9087858821")</f>
        <v>9087858821</v>
      </c>
      <c r="M585" s="14" t="s">
        <v>71</v>
      </c>
      <c r="N585" s="14" t="s">
        <v>857</v>
      </c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22"/>
      <c r="AA585" s="22"/>
      <c r="AB585" s="22"/>
      <c r="AC585" s="22"/>
      <c r="AD585" s="22"/>
    </row>
    <row r="586">
      <c r="A586" s="14">
        <v>585.0</v>
      </c>
      <c r="B586" s="32" t="s">
        <v>902</v>
      </c>
      <c r="C586" s="16" t="str">
        <f>IFERROR(__xludf.DUMMYFUNCTION("XLOOKUP(B586,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""-"")"),"DHARSANA  K")</f>
        <v>DHARSANA  K</v>
      </c>
      <c r="D586" s="17" t="str">
        <f>IFERROR(__xludf.DUMMYFUNCTION("XLOOKUP(B586,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86" s="51" t="s">
        <v>108</v>
      </c>
      <c r="F586" s="41">
        <v>4.0</v>
      </c>
      <c r="G586" s="14" t="s">
        <v>252</v>
      </c>
      <c r="H586" s="34"/>
      <c r="I586" s="14" t="s">
        <v>432</v>
      </c>
      <c r="J586" s="14" t="s">
        <v>886</v>
      </c>
      <c r="K586" s="17" t="str">
        <f>IFERROR(__xludf.DUMMYFUNCTION("XLOOKUP(B586,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""-"")"),"dharsana.cs23@bitsathy.ac.in")</f>
        <v>dharsana.cs23@bitsathy.ac.in</v>
      </c>
      <c r="L586" s="21" t="str">
        <f>IFERROR(__xludf.DUMMYFUNCTION("XLOOKUP(B586,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""-"")"),"7904948271")</f>
        <v>7904948271</v>
      </c>
      <c r="M586" s="14" t="s">
        <v>71</v>
      </c>
      <c r="N586" s="14" t="s">
        <v>857</v>
      </c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22"/>
      <c r="AA586" s="22"/>
      <c r="AB586" s="22"/>
      <c r="AC586" s="22"/>
      <c r="AD586" s="22"/>
    </row>
    <row r="587">
      <c r="A587" s="14">
        <v>586.0</v>
      </c>
      <c r="B587" s="32" t="s">
        <v>680</v>
      </c>
      <c r="C587" s="16" t="str">
        <f>IFERROR(__xludf.DUMMYFUNCTION("XLOOKUP(B587,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""-"")"),"DURKAIBALAN P")</f>
        <v>DURKAIBALAN P</v>
      </c>
      <c r="D587" s="17" t="str">
        <f>IFERROR(__xludf.DUMMYFUNCTION("XLOOKUP(B587,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87" s="51" t="s">
        <v>108</v>
      </c>
      <c r="F587" s="41">
        <v>4.0</v>
      </c>
      <c r="G587" s="14" t="s">
        <v>252</v>
      </c>
      <c r="H587" s="34"/>
      <c r="I587" s="14" t="s">
        <v>432</v>
      </c>
      <c r="J587" s="14" t="s">
        <v>886</v>
      </c>
      <c r="K587" s="17" t="str">
        <f>IFERROR(__xludf.DUMMYFUNCTION("XLOOKUP(B587,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""-"")"),"durkaibalan.ec23@bitsathy.ac.in")</f>
        <v>durkaibalan.ec23@bitsathy.ac.in</v>
      </c>
      <c r="L587" s="21" t="str">
        <f>IFERROR(__xludf.DUMMYFUNCTION("XLOOKUP(B587,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""-"")"),"6382056934")</f>
        <v>6382056934</v>
      </c>
      <c r="M587" s="14" t="s">
        <v>71</v>
      </c>
      <c r="N587" s="14" t="s">
        <v>857</v>
      </c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22"/>
      <c r="AA587" s="22"/>
      <c r="AB587" s="22"/>
      <c r="AC587" s="22"/>
      <c r="AD587" s="22"/>
    </row>
    <row r="588">
      <c r="A588" s="14">
        <v>587.0</v>
      </c>
      <c r="B588" s="32" t="s">
        <v>903</v>
      </c>
      <c r="C588" s="16" t="str">
        <f>IFERROR(__xludf.DUMMYFUNCTION("XLOOKUP(B588,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""-"")"),"THANISHA G")</f>
        <v>THANISHA G</v>
      </c>
      <c r="D588" s="17" t="str">
        <f>IFERROR(__xludf.DUMMYFUNCTION("XLOOKUP(B588,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588" s="51" t="s">
        <v>108</v>
      </c>
      <c r="F588" s="41">
        <v>4.0</v>
      </c>
      <c r="G588" s="14" t="s">
        <v>252</v>
      </c>
      <c r="H588" s="34"/>
      <c r="I588" s="14" t="s">
        <v>432</v>
      </c>
      <c r="J588" s="14" t="s">
        <v>886</v>
      </c>
      <c r="K588" s="17" t="str">
        <f>IFERROR(__xludf.DUMMYFUNCTION("XLOOKUP(B588,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""-"")"),"thanisha.ct23@bitsathy.ac.in")</f>
        <v>thanisha.ct23@bitsathy.ac.in</v>
      </c>
      <c r="L588" s="21" t="str">
        <f>IFERROR(__xludf.DUMMYFUNCTION("XLOOKUP(B588,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""-"")"),"9944272903")</f>
        <v>9944272903</v>
      </c>
      <c r="M588" s="14" t="s">
        <v>71</v>
      </c>
      <c r="N588" s="14" t="s">
        <v>857</v>
      </c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22"/>
      <c r="AA588" s="22"/>
      <c r="AB588" s="22"/>
      <c r="AC588" s="22"/>
      <c r="AD588" s="22"/>
    </row>
    <row r="589">
      <c r="A589" s="14">
        <v>588.0</v>
      </c>
      <c r="B589" s="32" t="s">
        <v>904</v>
      </c>
      <c r="C589" s="16" t="str">
        <f>IFERROR(__xludf.DUMMYFUNCTION("XLOOKUP(B589,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""-"")"),"NIVASHINI K")</f>
        <v>NIVASHINI K</v>
      </c>
      <c r="D589" s="17" t="str">
        <f>IFERROR(__xludf.DUMMYFUNCTION("XLOOKUP(B589,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89" s="51" t="s">
        <v>108</v>
      </c>
      <c r="F589" s="41">
        <v>4.0</v>
      </c>
      <c r="G589" s="14" t="s">
        <v>252</v>
      </c>
      <c r="H589" s="34"/>
      <c r="I589" s="14" t="s">
        <v>432</v>
      </c>
      <c r="J589" s="14" t="s">
        <v>886</v>
      </c>
      <c r="K589" s="17" t="str">
        <f>IFERROR(__xludf.DUMMYFUNCTION("XLOOKUP(B589,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""-"")"),"nivashini.it23@bitsathy.ac.in")</f>
        <v>nivashini.it23@bitsathy.ac.in</v>
      </c>
      <c r="L589" s="21" t="str">
        <f>IFERROR(__xludf.DUMMYFUNCTION("XLOOKUP(B589,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""-"")"),"9361401985")</f>
        <v>9361401985</v>
      </c>
      <c r="M589" s="14" t="s">
        <v>71</v>
      </c>
      <c r="N589" s="14" t="s">
        <v>857</v>
      </c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22"/>
      <c r="AA589" s="22"/>
      <c r="AB589" s="22"/>
      <c r="AC589" s="22"/>
      <c r="AD589" s="22"/>
    </row>
    <row r="590">
      <c r="A590" s="14">
        <v>589.0</v>
      </c>
      <c r="B590" s="32" t="s">
        <v>905</v>
      </c>
      <c r="C590" s="16" t="str">
        <f>IFERROR(__xludf.DUMMYFUNCTION("XLOOKUP(B590,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""-"")"),"MADHUMITHRA  M")</f>
        <v>MADHUMITHRA  M</v>
      </c>
      <c r="D590" s="17" t="str">
        <f>IFERROR(__xludf.DUMMYFUNCTION("XLOOKUP(B590,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90" s="51" t="s">
        <v>124</v>
      </c>
      <c r="F590" s="41">
        <v>44.0</v>
      </c>
      <c r="G590" s="14" t="s">
        <v>252</v>
      </c>
      <c r="H590" s="34"/>
      <c r="I590" s="14" t="s">
        <v>62</v>
      </c>
      <c r="J590" s="14" t="s">
        <v>266</v>
      </c>
      <c r="K590" s="17" t="str">
        <f>IFERROR(__xludf.DUMMYFUNCTION("XLOOKUP(B590,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""-"")"),"madhumithra.cs23@bitsathy.ac.in")</f>
        <v>madhumithra.cs23@bitsathy.ac.in</v>
      </c>
      <c r="L590" s="21" t="str">
        <f>IFERROR(__xludf.DUMMYFUNCTION("XLOOKUP(B590,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""-"")"),"8778976022")</f>
        <v>8778976022</v>
      </c>
      <c r="M590" s="14" t="s">
        <v>71</v>
      </c>
      <c r="N590" s="14" t="s">
        <v>906</v>
      </c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22"/>
      <c r="AA590" s="22"/>
      <c r="AB590" s="22"/>
      <c r="AC590" s="22"/>
      <c r="AD590" s="22"/>
    </row>
    <row r="591">
      <c r="A591" s="14">
        <v>590.0</v>
      </c>
      <c r="B591" s="29" t="s">
        <v>907</v>
      </c>
      <c r="C591" s="16" t="str">
        <f>IFERROR(__xludf.DUMMYFUNCTION("XLOOKUP(B591,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HUSSAIN F")</f>
        <v>MOHAMMED HUSSAIN F</v>
      </c>
      <c r="D591" s="17" t="str">
        <f>IFERROR(__xludf.DUMMYFUNCTION("XLOOKUP(B591,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591" s="51" t="s">
        <v>160</v>
      </c>
      <c r="F591" s="41">
        <v>6.0</v>
      </c>
      <c r="G591" s="14" t="s">
        <v>252</v>
      </c>
      <c r="H591" s="34"/>
      <c r="I591" s="14" t="s">
        <v>62</v>
      </c>
      <c r="J591" s="14" t="s">
        <v>886</v>
      </c>
      <c r="K591" s="17" t="str">
        <f>IFERROR(__xludf.DUMMYFUNCTION("XLOOKUP(B591,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""-"")"),"mohammedhussain.ec23@bitsathy.ac.in")</f>
        <v>mohammedhussain.ec23@bitsathy.ac.in</v>
      </c>
      <c r="L591" s="21" t="str">
        <f>IFERROR(__xludf.DUMMYFUNCTION("XLOOKUP(B591,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""-"")"),"7708908532")</f>
        <v>7708908532</v>
      </c>
      <c r="M591" s="14" t="s">
        <v>71</v>
      </c>
      <c r="N591" s="14" t="s">
        <v>908</v>
      </c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22"/>
      <c r="AA591" s="22"/>
      <c r="AB591" s="22"/>
      <c r="AC591" s="22"/>
      <c r="AD591" s="22"/>
    </row>
    <row r="592">
      <c r="A592" s="14">
        <v>591.0</v>
      </c>
      <c r="B592" s="29" t="s">
        <v>909</v>
      </c>
      <c r="C592" s="16" t="str">
        <f>IFERROR(__xludf.DUMMYFUNCTION("XLOOKUP(B592,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""-"")"),"VASANTH C")</f>
        <v>VASANTH C</v>
      </c>
      <c r="D592" s="17" t="str">
        <f>IFERROR(__xludf.DUMMYFUNCTION("XLOOKUP(B592,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592" s="14" t="s">
        <v>98</v>
      </c>
      <c r="F592" s="14">
        <v>6.2</v>
      </c>
      <c r="G592" s="14" t="s">
        <v>252</v>
      </c>
      <c r="H592" s="34"/>
      <c r="I592" s="14" t="s">
        <v>432</v>
      </c>
      <c r="J592" s="14" t="s">
        <v>266</v>
      </c>
      <c r="K592" s="17" t="str">
        <f>IFERROR(__xludf.DUMMYFUNCTION("XLOOKUP(B592,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""-"")"),"vasanthc.it23@bitsathy.ac.in")</f>
        <v>vasanthc.it23@bitsathy.ac.in</v>
      </c>
      <c r="L592" s="21" t="str">
        <f>IFERROR(__xludf.DUMMYFUNCTION("XLOOKUP(B592,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""-"")"),"9047442882")</f>
        <v>9047442882</v>
      </c>
      <c r="M592" s="14" t="s">
        <v>240</v>
      </c>
      <c r="N592" s="14" t="s">
        <v>908</v>
      </c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22"/>
      <c r="AA592" s="22"/>
      <c r="AB592" s="22"/>
      <c r="AC592" s="22"/>
      <c r="AD592" s="22"/>
    </row>
    <row r="593">
      <c r="A593" s="14">
        <v>592.0</v>
      </c>
      <c r="B593" s="29" t="s">
        <v>910</v>
      </c>
      <c r="C593" s="16" t="str">
        <f>IFERROR(__xludf.DUMMYFUNCTION("XLOOKUP(B593,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""-"")"),"NJANADEEPAN R K")</f>
        <v>NJANADEEPAN R K</v>
      </c>
      <c r="D593" s="17" t="str">
        <f>IFERROR(__xludf.DUMMYFUNCTION("XLOOKUP(B593,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3" s="14" t="s">
        <v>201</v>
      </c>
      <c r="F593" s="41">
        <v>3.5</v>
      </c>
      <c r="G593" s="14" t="s">
        <v>252</v>
      </c>
      <c r="H593" s="34"/>
      <c r="I593" s="14" t="s">
        <v>136</v>
      </c>
      <c r="J593" s="14" t="s">
        <v>886</v>
      </c>
      <c r="K593" s="17" t="str">
        <f>IFERROR(__xludf.DUMMYFUNCTION("XLOOKUP(B593,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""-"")"),"njanadeepan.me23@bitsathy.ac.in")</f>
        <v>njanadeepan.me23@bitsathy.ac.in</v>
      </c>
      <c r="L593" s="21" t="str">
        <f>IFERROR(__xludf.DUMMYFUNCTION("XLOOKUP(B593,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""-"")"),"7373555529")</f>
        <v>7373555529</v>
      </c>
      <c r="M593" s="14" t="s">
        <v>240</v>
      </c>
      <c r="N593" s="14" t="s">
        <v>911</v>
      </c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22"/>
      <c r="AA593" s="22"/>
      <c r="AB593" s="22"/>
      <c r="AC593" s="22"/>
      <c r="AD593" s="22"/>
    </row>
    <row r="594">
      <c r="A594" s="14">
        <v>593.0</v>
      </c>
      <c r="B594" s="29" t="s">
        <v>912</v>
      </c>
      <c r="C594" s="16" t="str">
        <f>IFERROR(__xludf.DUMMYFUNCTION("XLOOKUP(B594,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""-"")"),"DHARANIVELAN A")</f>
        <v>DHARANIVELAN A</v>
      </c>
      <c r="D594" s="17" t="str">
        <f>IFERROR(__xludf.DUMMYFUNCTION("XLOOKUP(B594,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4" s="14" t="s">
        <v>201</v>
      </c>
      <c r="F594" s="41">
        <v>3.5</v>
      </c>
      <c r="G594" s="14" t="s">
        <v>252</v>
      </c>
      <c r="H594" s="34"/>
      <c r="I594" s="14" t="s">
        <v>136</v>
      </c>
      <c r="J594" s="14" t="s">
        <v>886</v>
      </c>
      <c r="K594" s="17" t="str">
        <f>IFERROR(__xludf.DUMMYFUNCTION("XLOOKUP(B594,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""-"")"),"dharanivelana.me23@bitsathy.ac.in")</f>
        <v>dharanivelana.me23@bitsathy.ac.in</v>
      </c>
      <c r="L594" s="21" t="str">
        <f>IFERROR(__xludf.DUMMYFUNCTION("XLOOKUP(B594,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""-"")"),"9384557010")</f>
        <v>9384557010</v>
      </c>
      <c r="M594" s="14" t="s">
        <v>240</v>
      </c>
      <c r="N594" s="14" t="s">
        <v>911</v>
      </c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22"/>
      <c r="AA594" s="22"/>
      <c r="AB594" s="22"/>
      <c r="AC594" s="22"/>
      <c r="AD594" s="22"/>
    </row>
    <row r="595">
      <c r="A595" s="14">
        <v>594.0</v>
      </c>
      <c r="B595" s="29" t="s">
        <v>913</v>
      </c>
      <c r="C595" s="16" t="str">
        <f>IFERROR(__xludf.DUMMYFUNCTION("XLOOKUP(B595,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""-"")"),"PRAVEENKUMAR R")</f>
        <v>PRAVEENKUMAR R</v>
      </c>
      <c r="D595" s="17" t="str">
        <f>IFERROR(__xludf.DUMMYFUNCTION("XLOOKUP(B595,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5" s="14" t="s">
        <v>201</v>
      </c>
      <c r="F595" s="41">
        <v>3.5</v>
      </c>
      <c r="G595" s="14" t="s">
        <v>252</v>
      </c>
      <c r="H595" s="34"/>
      <c r="I595" s="14" t="s">
        <v>136</v>
      </c>
      <c r="J595" s="14" t="s">
        <v>886</v>
      </c>
      <c r="K595" s="17" t="str">
        <f>IFERROR(__xludf.DUMMYFUNCTION("XLOOKUP(B595,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""-"")"),"praveenkumar.me23@bitsathy.ac.in")</f>
        <v>praveenkumar.me23@bitsathy.ac.in</v>
      </c>
      <c r="L595" s="21" t="str">
        <f>IFERROR(__xludf.DUMMYFUNCTION("XLOOKUP(B595,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""-"")"),"9597345895")</f>
        <v>9597345895</v>
      </c>
      <c r="M595" s="14" t="s">
        <v>240</v>
      </c>
      <c r="N595" s="14" t="s">
        <v>911</v>
      </c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22"/>
      <c r="AA595" s="22"/>
      <c r="AB595" s="22"/>
      <c r="AC595" s="22"/>
      <c r="AD595" s="22"/>
    </row>
    <row r="596">
      <c r="A596" s="14">
        <v>595.0</v>
      </c>
      <c r="B596" s="29" t="s">
        <v>414</v>
      </c>
      <c r="C596" s="16" t="str">
        <f>IFERROR(__xludf.DUMMYFUNCTION("XLOOKUP(B596,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""-"")"),"KAMALESH K")</f>
        <v>KAMALESH K</v>
      </c>
      <c r="D596" s="17" t="str">
        <f>IFERROR(__xludf.DUMMYFUNCTION("XLOOKUP(B596,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596" s="33" t="s">
        <v>104</v>
      </c>
      <c r="F596" s="14">
        <v>21.0</v>
      </c>
      <c r="G596" s="14" t="s">
        <v>59</v>
      </c>
      <c r="H596" s="34"/>
      <c r="I596" s="14" t="s">
        <v>62</v>
      </c>
      <c r="J596" s="14" t="s">
        <v>266</v>
      </c>
      <c r="K596" s="17" t="str">
        <f>IFERROR(__xludf.DUMMYFUNCTION("XLOOKUP(B596,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""-"")"),"kamalesh.cs23@bitsathy.ac.in")</f>
        <v>kamalesh.cs23@bitsathy.ac.in</v>
      </c>
      <c r="L596" s="21" t="str">
        <f>IFERROR(__xludf.DUMMYFUNCTION("XLOOKUP(B596,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""-"")"),"6369026251")</f>
        <v>6369026251</v>
      </c>
      <c r="M596" s="14" t="s">
        <v>71</v>
      </c>
      <c r="N596" s="14" t="s">
        <v>914</v>
      </c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22"/>
      <c r="AA596" s="22"/>
      <c r="AB596" s="22"/>
      <c r="AC596" s="22"/>
      <c r="AD596" s="22"/>
    </row>
    <row r="597">
      <c r="A597" s="14">
        <v>596.0</v>
      </c>
      <c r="B597" s="29" t="s">
        <v>915</v>
      </c>
      <c r="C597" s="16" t="str">
        <f>IFERROR(__xludf.DUMMYFUNCTION("XLOOKUP(B597,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""-"")"),"DARSHANA SREE J M")</f>
        <v>DARSHANA SREE J M</v>
      </c>
      <c r="D597" s="17" t="str">
        <f>IFERROR(__xludf.DUMMYFUNCTION("XLOOKUP(B597,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7" s="43" t="s">
        <v>146</v>
      </c>
      <c r="F597" s="14">
        <v>4.0</v>
      </c>
      <c r="G597" s="14" t="s">
        <v>252</v>
      </c>
      <c r="H597" s="34"/>
      <c r="I597" s="14" t="s">
        <v>136</v>
      </c>
      <c r="J597" s="14" t="s">
        <v>266</v>
      </c>
      <c r="K597" s="17" t="str">
        <f>IFERROR(__xludf.DUMMYFUNCTION("XLOOKUP(B597,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""-"")"),"darshanasree.me23@bitsathy.ac.in")</f>
        <v>darshanasree.me23@bitsathy.ac.in</v>
      </c>
      <c r="L597" s="21" t="str">
        <f>IFERROR(__xludf.DUMMYFUNCTION("XLOOKUP(B597,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""-"")"),"9487756173")</f>
        <v>9487756173</v>
      </c>
      <c r="M597" s="14" t="s">
        <v>71</v>
      </c>
      <c r="N597" s="14" t="s">
        <v>914</v>
      </c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22"/>
      <c r="AA597" s="22"/>
      <c r="AB597" s="22"/>
      <c r="AC597" s="22"/>
      <c r="AD597" s="22"/>
    </row>
    <row r="598">
      <c r="A598" s="14">
        <v>597.0</v>
      </c>
      <c r="B598" s="29" t="s">
        <v>804</v>
      </c>
      <c r="C598" s="16" t="str">
        <f>IFERROR(__xludf.DUMMYFUNCTION("XLOOKUP(B598,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""-"")"),"DEEPAK VENKAT S")</f>
        <v>DEEPAK VENKAT S</v>
      </c>
      <c r="D598" s="17" t="str">
        <f>IFERROR(__xludf.DUMMYFUNCTION("XLOOKUP(B598,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8" s="43" t="s">
        <v>146</v>
      </c>
      <c r="F598" s="14">
        <v>4.0</v>
      </c>
      <c r="G598" s="14" t="s">
        <v>252</v>
      </c>
      <c r="H598" s="34"/>
      <c r="I598" s="14" t="s">
        <v>136</v>
      </c>
      <c r="J598" s="14" t="s">
        <v>266</v>
      </c>
      <c r="K598" s="17" t="str">
        <f>IFERROR(__xludf.DUMMYFUNCTION("XLOOKUP(B598,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""-"")"),"deepakvenkat.me23@bitsathy.ac.in")</f>
        <v>deepakvenkat.me23@bitsathy.ac.in</v>
      </c>
      <c r="L598" s="21" t="str">
        <f>IFERROR(__xludf.DUMMYFUNCTION("XLOOKUP(B598,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""-"")"),"7904914421")</f>
        <v>7904914421</v>
      </c>
      <c r="M598" s="14" t="s">
        <v>71</v>
      </c>
      <c r="N598" s="14" t="s">
        <v>914</v>
      </c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22"/>
      <c r="AA598" s="22"/>
      <c r="AB598" s="22"/>
      <c r="AC598" s="22"/>
      <c r="AD598" s="22"/>
    </row>
    <row r="599">
      <c r="A599" s="14">
        <v>598.0</v>
      </c>
      <c r="B599" s="29" t="s">
        <v>805</v>
      </c>
      <c r="C599" s="16" t="str">
        <f>IFERROR(__xludf.DUMMYFUNCTION("XLOOKUP(B599,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""-"")"),"GURUVISHNU A")</f>
        <v>GURUVISHNU A</v>
      </c>
      <c r="D599" s="17" t="str">
        <f>IFERROR(__xludf.DUMMYFUNCTION("XLOOKUP(B599,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599" s="43" t="s">
        <v>146</v>
      </c>
      <c r="F599" s="14">
        <v>4.0</v>
      </c>
      <c r="G599" s="14" t="s">
        <v>252</v>
      </c>
      <c r="H599" s="34"/>
      <c r="I599" s="14" t="s">
        <v>136</v>
      </c>
      <c r="J599" s="14" t="s">
        <v>266</v>
      </c>
      <c r="K599" s="17" t="str">
        <f>IFERROR(__xludf.DUMMYFUNCTION("XLOOKUP(B599,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""-"")"),"guruvishnu.me23@bitsathy.ac.in")</f>
        <v>guruvishnu.me23@bitsathy.ac.in</v>
      </c>
      <c r="L599" s="21" t="str">
        <f>IFERROR(__xludf.DUMMYFUNCTION("XLOOKUP(B599,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""-"")"),"9080581929")</f>
        <v>9080581929</v>
      </c>
      <c r="M599" s="14" t="s">
        <v>71</v>
      </c>
      <c r="N599" s="14" t="s">
        <v>914</v>
      </c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22"/>
      <c r="AA599" s="22"/>
      <c r="AB599" s="22"/>
      <c r="AC599" s="22"/>
      <c r="AD599" s="22"/>
    </row>
    <row r="600">
      <c r="A600" s="14">
        <v>599.0</v>
      </c>
      <c r="B600" s="29" t="s">
        <v>910</v>
      </c>
      <c r="C600" s="16" t="str">
        <f>IFERROR(__xludf.DUMMYFUNCTION("XLOOKUP(B600,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""-"")"),"NJANADEEPAN R K")</f>
        <v>NJANADEEPAN R K</v>
      </c>
      <c r="D600" s="17" t="str">
        <f>IFERROR(__xludf.DUMMYFUNCTION("XLOOKUP(B600,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600" s="43" t="s">
        <v>146</v>
      </c>
      <c r="F600" s="14">
        <v>4.0</v>
      </c>
      <c r="G600" s="14" t="s">
        <v>252</v>
      </c>
      <c r="H600" s="34"/>
      <c r="I600" s="14" t="s">
        <v>136</v>
      </c>
      <c r="J600" s="14" t="s">
        <v>266</v>
      </c>
      <c r="K600" s="17" t="str">
        <f>IFERROR(__xludf.DUMMYFUNCTION("XLOOKUP(B600,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""-"")"),"njanadeepan.me23@bitsathy.ac.in")</f>
        <v>njanadeepan.me23@bitsathy.ac.in</v>
      </c>
      <c r="L600" s="21" t="str">
        <f>IFERROR(__xludf.DUMMYFUNCTION("XLOOKUP(B600,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""-"")"),"7373555529")</f>
        <v>7373555529</v>
      </c>
      <c r="M600" s="14" t="s">
        <v>71</v>
      </c>
      <c r="N600" s="14" t="s">
        <v>914</v>
      </c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22"/>
      <c r="AA600" s="22"/>
      <c r="AB600" s="22"/>
      <c r="AC600" s="22"/>
      <c r="AD600" s="22"/>
    </row>
    <row r="601">
      <c r="A601" s="14">
        <v>600.0</v>
      </c>
      <c r="B601" s="29" t="s">
        <v>806</v>
      </c>
      <c r="C601" s="16" t="str">
        <f>IFERROR(__xludf.DUMMYFUNCTION("XLOOKUP(B601,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""-"")"),"PRIYAN R S")</f>
        <v>PRIYAN R S</v>
      </c>
      <c r="D601" s="17" t="str">
        <f>IFERROR(__xludf.DUMMYFUNCTION("XLOOKUP(B601,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601" s="43" t="s">
        <v>146</v>
      </c>
      <c r="F601" s="14">
        <v>4.0</v>
      </c>
      <c r="G601" s="14" t="s">
        <v>252</v>
      </c>
      <c r="H601" s="34"/>
      <c r="I601" s="14" t="s">
        <v>136</v>
      </c>
      <c r="J601" s="14" t="s">
        <v>266</v>
      </c>
      <c r="K601" s="17" t="str">
        <f>IFERROR(__xludf.DUMMYFUNCTION("XLOOKUP(B601,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""-"")"),"priyanrs.me23@bitsathy.ac.in")</f>
        <v>priyanrs.me23@bitsathy.ac.in</v>
      </c>
      <c r="L601" s="21" t="str">
        <f>IFERROR(__xludf.DUMMYFUNCTION("XLOOKUP(B601,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""-"")"),"6374972377")</f>
        <v>6374972377</v>
      </c>
      <c r="M601" s="14" t="s">
        <v>71</v>
      </c>
      <c r="N601" s="14" t="s">
        <v>914</v>
      </c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22"/>
      <c r="AA601" s="22"/>
      <c r="AB601" s="22"/>
      <c r="AC601" s="22"/>
      <c r="AD601" s="22"/>
    </row>
    <row r="602">
      <c r="A602" s="14">
        <v>601.0</v>
      </c>
      <c r="B602" s="29" t="s">
        <v>916</v>
      </c>
      <c r="C602" s="16" t="str">
        <f>IFERROR(__xludf.DUMMYFUNCTION("XLOOKUP(B602,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""-"")"),"ABINISHA S")</f>
        <v>ABINISHA S</v>
      </c>
      <c r="D602" s="17" t="str">
        <f>IFERROR(__xludf.DUMMYFUNCTION("XLOOKUP(B602,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02" s="43" t="s">
        <v>146</v>
      </c>
      <c r="F602" s="14">
        <v>4.0</v>
      </c>
      <c r="G602" s="14" t="s">
        <v>252</v>
      </c>
      <c r="H602" s="34"/>
      <c r="I602" s="14" t="s">
        <v>136</v>
      </c>
      <c r="J602" s="14" t="s">
        <v>266</v>
      </c>
      <c r="K602" s="17" t="str">
        <f>IFERROR(__xludf.DUMMYFUNCTION("XLOOKUP(B602,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""-"")"),"abinisha.ee23@bitsathy.ac.in")</f>
        <v>abinisha.ee23@bitsathy.ac.in</v>
      </c>
      <c r="L602" s="21" t="str">
        <f>IFERROR(__xludf.DUMMYFUNCTION("XLOOKUP(B602,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""-"")"),"9360523756")</f>
        <v>9360523756</v>
      </c>
      <c r="M602" s="14" t="s">
        <v>71</v>
      </c>
      <c r="N602" s="14" t="s">
        <v>914</v>
      </c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22"/>
      <c r="AA602" s="22"/>
      <c r="AB602" s="22"/>
      <c r="AC602" s="22"/>
      <c r="AD602" s="22"/>
    </row>
    <row r="603">
      <c r="A603" s="14">
        <v>602.0</v>
      </c>
      <c r="B603" s="29" t="s">
        <v>917</v>
      </c>
      <c r="C603" s="16" t="str">
        <f>IFERROR(__xludf.DUMMYFUNCTION("XLOOKUP(B603,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""-"")"),"MATHIYARASI K")</f>
        <v>MATHIYARASI K</v>
      </c>
      <c r="D603" s="17" t="str">
        <f>IFERROR(__xludf.DUMMYFUNCTION("XLOOKUP(B603,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03" s="43" t="s">
        <v>146</v>
      </c>
      <c r="F603" s="14">
        <v>4.0</v>
      </c>
      <c r="G603" s="14" t="s">
        <v>252</v>
      </c>
      <c r="H603" s="34"/>
      <c r="I603" s="14" t="s">
        <v>136</v>
      </c>
      <c r="J603" s="14" t="s">
        <v>266</v>
      </c>
      <c r="K603" s="17" t="str">
        <f>IFERROR(__xludf.DUMMYFUNCTION("XLOOKUP(B603,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""-"")"),"mathiyarasik.ee23@bitsathy.ac.in")</f>
        <v>mathiyarasik.ee23@bitsathy.ac.in</v>
      </c>
      <c r="L603" s="21" t="str">
        <f>IFERROR(__xludf.DUMMYFUNCTION("XLOOKUP(B603,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""-"")"),"9842528966")</f>
        <v>9842528966</v>
      </c>
      <c r="M603" s="14" t="s">
        <v>71</v>
      </c>
      <c r="N603" s="14" t="s">
        <v>914</v>
      </c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22"/>
      <c r="AA603" s="22"/>
      <c r="AB603" s="22"/>
      <c r="AC603" s="22"/>
      <c r="AD603" s="22"/>
    </row>
    <row r="604">
      <c r="A604" s="14">
        <v>603.0</v>
      </c>
      <c r="B604" s="29" t="s">
        <v>918</v>
      </c>
      <c r="C604" s="16" t="str">
        <f>IFERROR(__xludf.DUMMYFUNCTION("XLOOKUP(B604,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""-"")"),"SOWKANDHIKA M")</f>
        <v>SOWKANDHIKA M</v>
      </c>
      <c r="D604" s="17" t="str">
        <f>IFERROR(__xludf.DUMMYFUNCTION("XLOOKUP(B604,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04" s="43" t="s">
        <v>146</v>
      </c>
      <c r="F604" s="14">
        <v>4.0</v>
      </c>
      <c r="G604" s="14" t="s">
        <v>252</v>
      </c>
      <c r="H604" s="34"/>
      <c r="I604" s="14" t="s">
        <v>136</v>
      </c>
      <c r="J604" s="14" t="s">
        <v>266</v>
      </c>
      <c r="K604" s="17" t="str">
        <f>IFERROR(__xludf.DUMMYFUNCTION("XLOOKUP(B604,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""-"")"),"sowkandhika.ee23@bitsathy.ac.in")</f>
        <v>sowkandhika.ee23@bitsathy.ac.in</v>
      </c>
      <c r="L604" s="21" t="str">
        <f>IFERROR(__xludf.DUMMYFUNCTION("XLOOKUP(B604,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""-"")"),"6369679541")</f>
        <v>6369679541</v>
      </c>
      <c r="M604" s="14" t="s">
        <v>71</v>
      </c>
      <c r="N604" s="14" t="s">
        <v>914</v>
      </c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22"/>
      <c r="AA604" s="22"/>
      <c r="AB604" s="22"/>
      <c r="AC604" s="22"/>
      <c r="AD604" s="22"/>
    </row>
    <row r="605">
      <c r="A605" s="14">
        <v>604.0</v>
      </c>
      <c r="B605" s="29" t="s">
        <v>797</v>
      </c>
      <c r="C605" s="16" t="str">
        <f>IFERROR(__xludf.DUMMYFUNCTION("XLOOKUP(B605,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""-"")"),"THARUNYA S T")</f>
        <v>THARUNYA S T</v>
      </c>
      <c r="D605" s="17" t="str">
        <f>IFERROR(__xludf.DUMMYFUNCTION("XLOOKUP(B605,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05" s="43" t="s">
        <v>146</v>
      </c>
      <c r="F605" s="14">
        <v>4.0</v>
      </c>
      <c r="G605" s="14" t="s">
        <v>252</v>
      </c>
      <c r="H605" s="34"/>
      <c r="I605" s="14" t="s">
        <v>136</v>
      </c>
      <c r="J605" s="14" t="s">
        <v>266</v>
      </c>
      <c r="K605" s="17" t="str">
        <f>IFERROR(__xludf.DUMMYFUNCTION("XLOOKUP(B605,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""-"")"),"tharunya.ee23@bitsathy.ac.in")</f>
        <v>tharunya.ee23@bitsathy.ac.in</v>
      </c>
      <c r="L605" s="21" t="str">
        <f>IFERROR(__xludf.DUMMYFUNCTION("XLOOKUP(B605,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""-"")"),"7667753366")</f>
        <v>7667753366</v>
      </c>
      <c r="M605" s="14" t="s">
        <v>71</v>
      </c>
      <c r="N605" s="14" t="s">
        <v>914</v>
      </c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22"/>
      <c r="AA605" s="22"/>
      <c r="AB605" s="22"/>
      <c r="AC605" s="22"/>
      <c r="AD605" s="22"/>
    </row>
    <row r="606">
      <c r="A606" s="14">
        <v>605.0</v>
      </c>
      <c r="B606" s="29" t="s">
        <v>812</v>
      </c>
      <c r="C606" s="16" t="str">
        <f>IFERROR(__xludf.DUMMYFUNCTION("XLOOKUP(B606,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""-"")"),"NITHISH S")</f>
        <v>NITHISH S</v>
      </c>
      <c r="D606" s="17" t="str">
        <f>IFERROR(__xludf.DUMMYFUNCTION("XLOOKUP(B606,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606" s="43" t="s">
        <v>146</v>
      </c>
      <c r="F606" s="14">
        <v>4.0</v>
      </c>
      <c r="G606" s="14" t="s">
        <v>252</v>
      </c>
      <c r="H606" s="34"/>
      <c r="I606" s="14" t="s">
        <v>136</v>
      </c>
      <c r="J606" s="14" t="s">
        <v>266</v>
      </c>
      <c r="K606" s="17" t="str">
        <f>IFERROR(__xludf.DUMMYFUNCTION("XLOOKUP(B606,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""-"")"),"nithish.mz23@bitsathy.ac.in")</f>
        <v>nithish.mz23@bitsathy.ac.in</v>
      </c>
      <c r="L606" s="21" t="str">
        <f>IFERROR(__xludf.DUMMYFUNCTION("XLOOKUP(B606,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""-"")"),"8838021366")</f>
        <v>8838021366</v>
      </c>
      <c r="M606" s="14" t="s">
        <v>71</v>
      </c>
      <c r="N606" s="14" t="s">
        <v>914</v>
      </c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22"/>
      <c r="AA606" s="22"/>
      <c r="AB606" s="22"/>
      <c r="AC606" s="22"/>
      <c r="AD606" s="22"/>
    </row>
    <row r="607">
      <c r="A607" s="14">
        <v>606.0</v>
      </c>
      <c r="B607" s="29" t="s">
        <v>919</v>
      </c>
      <c r="C607" s="16" t="str">
        <f>IFERROR(__xludf.DUMMYFUNCTION("XLOOKUP(B607,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""-"")"),"KAVIYARASU V K")</f>
        <v>KAVIYARASU V K</v>
      </c>
      <c r="D607" s="17" t="str">
        <f>IFERROR(__xludf.DUMMYFUNCTION("XLOOKUP(B607,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07" s="14" t="s">
        <v>159</v>
      </c>
      <c r="F607" s="14">
        <v>3.0</v>
      </c>
      <c r="G607" s="14" t="s">
        <v>252</v>
      </c>
      <c r="H607" s="34"/>
      <c r="I607" s="14" t="s">
        <v>136</v>
      </c>
      <c r="J607" s="14" t="s">
        <v>99</v>
      </c>
      <c r="K607" s="17" t="str">
        <f>IFERROR(__xludf.DUMMYFUNCTION("XLOOKUP(B607,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""-"")"),"kaviyarasu.ee23@bitsathy.ac.in")</f>
        <v>kaviyarasu.ee23@bitsathy.ac.in</v>
      </c>
      <c r="L607" s="21" t="str">
        <f>IFERROR(__xludf.DUMMYFUNCTION("XLOOKUP(B607,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""-"")"),"8668081817")</f>
        <v>8668081817</v>
      </c>
      <c r="M607" s="14" t="s">
        <v>71</v>
      </c>
      <c r="N607" s="14" t="s">
        <v>914</v>
      </c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22"/>
      <c r="AA607" s="22"/>
      <c r="AB607" s="22"/>
      <c r="AC607" s="22"/>
      <c r="AD607" s="22"/>
    </row>
    <row r="608">
      <c r="A608" s="14">
        <v>607.0</v>
      </c>
      <c r="B608" s="29" t="s">
        <v>920</v>
      </c>
      <c r="C608" s="16" t="str">
        <f>IFERROR(__xludf.DUMMYFUNCTION("XLOOKUP(B608,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""-"")"),"DHARSAN A K")</f>
        <v>DHARSAN A K</v>
      </c>
      <c r="D608" s="17" t="str">
        <f>IFERROR(__xludf.DUMMYFUNCTION("XLOOKUP(B608,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08" s="14" t="s">
        <v>159</v>
      </c>
      <c r="F608" s="14">
        <v>3.0</v>
      </c>
      <c r="G608" s="14" t="s">
        <v>252</v>
      </c>
      <c r="H608" s="34"/>
      <c r="I608" s="14" t="s">
        <v>136</v>
      </c>
      <c r="J608" s="14" t="s">
        <v>99</v>
      </c>
      <c r="K608" s="17" t="str">
        <f>IFERROR(__xludf.DUMMYFUNCTION("XLOOKUP(B608,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""-"")"),"dharsan.ec23@bitsathy.ac.in")</f>
        <v>dharsan.ec23@bitsathy.ac.in</v>
      </c>
      <c r="L608" s="21" t="str">
        <f>IFERROR(__xludf.DUMMYFUNCTION("XLOOKUP(B608,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""-"")"),"9842663916")</f>
        <v>9842663916</v>
      </c>
      <c r="M608" s="14" t="s">
        <v>71</v>
      </c>
      <c r="N608" s="14" t="s">
        <v>914</v>
      </c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22"/>
      <c r="AA608" s="22"/>
      <c r="AB608" s="22"/>
      <c r="AC608" s="22"/>
      <c r="AD608" s="22"/>
    </row>
    <row r="609">
      <c r="A609" s="14">
        <v>608.0</v>
      </c>
      <c r="B609" s="29" t="s">
        <v>921</v>
      </c>
      <c r="C609" s="16" t="str">
        <f>IFERROR(__xludf.DUMMYFUNCTION("XLOOKUP(B609,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""-"")"),"MOHIT BALAJI M")</f>
        <v>MOHIT BALAJI M</v>
      </c>
      <c r="D609" s="17" t="str">
        <f>IFERROR(__xludf.DUMMYFUNCTION("XLOOKUP(B609,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09" s="14" t="s">
        <v>159</v>
      </c>
      <c r="F609" s="14">
        <v>3.0</v>
      </c>
      <c r="G609" s="14" t="s">
        <v>252</v>
      </c>
      <c r="H609" s="34"/>
      <c r="I609" s="14" t="s">
        <v>136</v>
      </c>
      <c r="J609" s="14" t="s">
        <v>99</v>
      </c>
      <c r="K609" s="17" t="str">
        <f>IFERROR(__xludf.DUMMYFUNCTION("XLOOKUP(B609,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""-"")"),"mohitbalaji.ec23@bitsathy.ac.in")</f>
        <v>mohitbalaji.ec23@bitsathy.ac.in</v>
      </c>
      <c r="L609" s="21" t="str">
        <f>IFERROR(__xludf.DUMMYFUNCTION("XLOOKUP(B609,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""-"")"),"8825537525")</f>
        <v>8825537525</v>
      </c>
      <c r="M609" s="14" t="s">
        <v>71</v>
      </c>
      <c r="N609" s="14" t="s">
        <v>914</v>
      </c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22"/>
      <c r="AA609" s="22"/>
      <c r="AB609" s="22"/>
      <c r="AC609" s="22"/>
      <c r="AD609" s="22"/>
    </row>
    <row r="610">
      <c r="A610" s="14">
        <v>609.0</v>
      </c>
      <c r="B610" s="29" t="s">
        <v>922</v>
      </c>
      <c r="C610" s="16" t="str">
        <f>IFERROR(__xludf.DUMMYFUNCTION("XLOOKUP(B610,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""-"")"),"PRASANTH P")</f>
        <v>PRASANTH P</v>
      </c>
      <c r="D610" s="17" t="str">
        <f>IFERROR(__xludf.DUMMYFUNCTION("XLOOKUP(B610,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10" s="14" t="s">
        <v>159</v>
      </c>
      <c r="F610" s="14">
        <v>3.0</v>
      </c>
      <c r="G610" s="14" t="s">
        <v>252</v>
      </c>
      <c r="H610" s="34"/>
      <c r="I610" s="14" t="s">
        <v>136</v>
      </c>
      <c r="J610" s="14" t="s">
        <v>99</v>
      </c>
      <c r="K610" s="17" t="str">
        <f>IFERROR(__xludf.DUMMYFUNCTION("XLOOKUP(B610,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""-"")"),"prasanthp.ec23@bitsathy.ac.in")</f>
        <v>prasanthp.ec23@bitsathy.ac.in</v>
      </c>
      <c r="L610" s="21" t="str">
        <f>IFERROR(__xludf.DUMMYFUNCTION("XLOOKUP(B610,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""-"")"),"9043604626")</f>
        <v>9043604626</v>
      </c>
      <c r="M610" s="14" t="s">
        <v>71</v>
      </c>
      <c r="N610" s="14" t="s">
        <v>914</v>
      </c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22"/>
      <c r="AA610" s="22"/>
      <c r="AB610" s="22"/>
      <c r="AC610" s="22"/>
      <c r="AD610" s="22"/>
    </row>
    <row r="611">
      <c r="A611" s="14">
        <v>610.0</v>
      </c>
      <c r="B611" s="29" t="s">
        <v>923</v>
      </c>
      <c r="C611" s="16" t="str">
        <f>IFERROR(__xludf.DUMMYFUNCTION("XLOOKUP(B611,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""-"")"),"AHARSHAN D")</f>
        <v>AHARSHAN D</v>
      </c>
      <c r="D611" s="17" t="str">
        <f>IFERROR(__xludf.DUMMYFUNCTION("XLOOKUP(B611,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11" s="14" t="s">
        <v>159</v>
      </c>
      <c r="F611" s="14">
        <v>3.0</v>
      </c>
      <c r="G611" s="14" t="s">
        <v>252</v>
      </c>
      <c r="H611" s="34"/>
      <c r="I611" s="14" t="s">
        <v>136</v>
      </c>
      <c r="J611" s="14" t="s">
        <v>99</v>
      </c>
      <c r="K611" s="17" t="str">
        <f>IFERROR(__xludf.DUMMYFUNCTION("XLOOKUP(B611,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""-"")"),"aharshand.ec23@bitsathy.ac.in")</f>
        <v>aharshand.ec23@bitsathy.ac.in</v>
      </c>
      <c r="L611" s="21" t="str">
        <f>IFERROR(__xludf.DUMMYFUNCTION("XLOOKUP(B611,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""-"")"),"9150430694")</f>
        <v>9150430694</v>
      </c>
      <c r="M611" s="14" t="s">
        <v>71</v>
      </c>
      <c r="N611" s="14" t="s">
        <v>914</v>
      </c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22"/>
      <c r="AA611" s="22"/>
      <c r="AB611" s="22"/>
      <c r="AC611" s="22"/>
      <c r="AD611" s="22"/>
    </row>
    <row r="612">
      <c r="A612" s="14">
        <v>611.0</v>
      </c>
      <c r="B612" s="29" t="s">
        <v>924</v>
      </c>
      <c r="C612" s="16" t="str">
        <f>IFERROR(__xludf.DUMMYFUNCTION("XLOOKUP(B612,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""-"")"),"YASWANTH D")</f>
        <v>YASWANTH D</v>
      </c>
      <c r="D612" s="17" t="str">
        <f>IFERROR(__xludf.DUMMYFUNCTION("XLOOKUP(B612,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12" s="14" t="s">
        <v>159</v>
      </c>
      <c r="F612" s="14">
        <v>3.0</v>
      </c>
      <c r="G612" s="14" t="s">
        <v>252</v>
      </c>
      <c r="H612" s="34"/>
      <c r="I612" s="14" t="s">
        <v>136</v>
      </c>
      <c r="J612" s="14" t="s">
        <v>99</v>
      </c>
      <c r="K612" s="17" t="str">
        <f>IFERROR(__xludf.DUMMYFUNCTION("XLOOKUP(B612,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""-"")"),"yaswanthd.ec23@bitsathy.ac.in")</f>
        <v>yaswanthd.ec23@bitsathy.ac.in</v>
      </c>
      <c r="L612" s="21" t="str">
        <f>IFERROR(__xludf.DUMMYFUNCTION("XLOOKUP(B612,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""-"")"),"9843899909")</f>
        <v>9843899909</v>
      </c>
      <c r="M612" s="14" t="s">
        <v>71</v>
      </c>
      <c r="N612" s="14" t="s">
        <v>914</v>
      </c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22"/>
      <c r="AA612" s="22"/>
      <c r="AB612" s="22"/>
      <c r="AC612" s="22"/>
      <c r="AD612" s="22"/>
    </row>
    <row r="613">
      <c r="A613" s="14">
        <v>612.0</v>
      </c>
      <c r="B613" s="29" t="s">
        <v>925</v>
      </c>
      <c r="C613" s="16" t="str">
        <f>IFERROR(__xludf.DUMMYFUNCTION("XLOOKUP(B613,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""-"")"),"VELU PRABHAKARAN  M")</f>
        <v>VELU PRABHAKARAN  M</v>
      </c>
      <c r="D613" s="17" t="str">
        <f>IFERROR(__xludf.DUMMYFUNCTION("XLOOKUP(B613,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13" s="14" t="s">
        <v>159</v>
      </c>
      <c r="F613" s="14">
        <v>3.0</v>
      </c>
      <c r="G613" s="14" t="s">
        <v>252</v>
      </c>
      <c r="H613" s="34"/>
      <c r="I613" s="14" t="s">
        <v>136</v>
      </c>
      <c r="J613" s="14" t="s">
        <v>99</v>
      </c>
      <c r="K613" s="17" t="str">
        <f>IFERROR(__xludf.DUMMYFUNCTION("XLOOKUP(B613,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""-"")"),"veluprabhakaranm.ee23@bitsathy.ac.in")</f>
        <v>veluprabhakaranm.ee23@bitsathy.ac.in</v>
      </c>
      <c r="L613" s="21" t="str">
        <f>IFERROR(__xludf.DUMMYFUNCTION("XLOOKUP(B613,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""-"")"),"7550020352")</f>
        <v>7550020352</v>
      </c>
      <c r="M613" s="14" t="s">
        <v>71</v>
      </c>
      <c r="N613" s="14" t="s">
        <v>914</v>
      </c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22"/>
      <c r="AA613" s="22"/>
      <c r="AB613" s="22"/>
      <c r="AC613" s="22"/>
      <c r="AD613" s="22"/>
    </row>
    <row r="614">
      <c r="A614" s="14">
        <v>613.0</v>
      </c>
      <c r="B614" s="29" t="s">
        <v>926</v>
      </c>
      <c r="C614" s="16" t="str">
        <f>IFERROR(__xludf.DUMMYFUNCTION("XLOOKUP(B614,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""-"")"),"BOSEVETRIVELRAM M")</f>
        <v>BOSEVETRIVELRAM M</v>
      </c>
      <c r="D614" s="17" t="str">
        <f>IFERROR(__xludf.DUMMYFUNCTION("XLOOKUP(B614,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14" s="14" t="s">
        <v>167</v>
      </c>
      <c r="F614" s="14">
        <v>4.2</v>
      </c>
      <c r="G614" s="14" t="s">
        <v>252</v>
      </c>
      <c r="H614" s="34"/>
      <c r="I614" s="14" t="s">
        <v>432</v>
      </c>
      <c r="J614" s="14" t="s">
        <v>886</v>
      </c>
      <c r="K614" s="17" t="str">
        <f>IFERROR(__xludf.DUMMYFUNCTION("XLOOKUP(B614,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""-"")"),"bosevetrivelram.ec23@bitsathy.ac.in")</f>
        <v>bosevetrivelram.ec23@bitsathy.ac.in</v>
      </c>
      <c r="L614" s="21" t="str">
        <f>IFERROR(__xludf.DUMMYFUNCTION("XLOOKUP(B614,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""-"")"),"9677619160")</f>
        <v>9677619160</v>
      </c>
      <c r="M614" s="14" t="s">
        <v>71</v>
      </c>
      <c r="N614" s="14" t="s">
        <v>927</v>
      </c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22"/>
      <c r="AA614" s="22"/>
      <c r="AB614" s="22"/>
      <c r="AC614" s="22"/>
      <c r="AD614" s="22"/>
    </row>
    <row r="615">
      <c r="A615" s="14">
        <v>614.0</v>
      </c>
      <c r="B615" s="29" t="s">
        <v>928</v>
      </c>
      <c r="C615" s="16" t="str">
        <f>IFERROR(__xludf.DUMMYFUNCTION("XLOOKUP(B615,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""-"")"),"YOGESWARAN V")</f>
        <v>YOGESWARAN V</v>
      </c>
      <c r="D615" s="17" t="str">
        <f>IFERROR(__xludf.DUMMYFUNCTION("XLOOKUP(B615,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615" s="14" t="s">
        <v>167</v>
      </c>
      <c r="F615" s="14">
        <v>4.2</v>
      </c>
      <c r="G615" s="14" t="s">
        <v>252</v>
      </c>
      <c r="H615" s="34"/>
      <c r="I615" s="14" t="s">
        <v>432</v>
      </c>
      <c r="J615" s="14" t="s">
        <v>886</v>
      </c>
      <c r="K615" s="17" t="str">
        <f>IFERROR(__xludf.DUMMYFUNCTION("XLOOKUP(B615,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""-"")"),"yogeswaran.it23@bitsathy.ac.in")</f>
        <v>yogeswaran.it23@bitsathy.ac.in</v>
      </c>
      <c r="L615" s="21" t="str">
        <f>IFERROR(__xludf.DUMMYFUNCTION("XLOOKUP(B615,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""-"")"),"6383031849")</f>
        <v>6383031849</v>
      </c>
      <c r="M615" s="14" t="s">
        <v>71</v>
      </c>
      <c r="N615" s="14" t="s">
        <v>927</v>
      </c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22"/>
      <c r="AA615" s="22"/>
      <c r="AB615" s="22"/>
      <c r="AC615" s="22"/>
      <c r="AD615" s="22"/>
    </row>
    <row r="616">
      <c r="A616" s="14">
        <v>615.0</v>
      </c>
      <c r="B616" s="29" t="s">
        <v>929</v>
      </c>
      <c r="C616" s="16" t="str">
        <f>IFERROR(__xludf.DUMMYFUNCTION("XLOOKUP(B616,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""-"")"),"SIVASHANKARI R")</f>
        <v>SIVASHANKARI R</v>
      </c>
      <c r="D616" s="17" t="str">
        <f>IFERROR(__xludf.DUMMYFUNCTION("XLOOKUP(B616,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16" s="14" t="s">
        <v>167</v>
      </c>
      <c r="F616" s="14">
        <v>4.2</v>
      </c>
      <c r="G616" s="14" t="s">
        <v>252</v>
      </c>
      <c r="H616" s="34"/>
      <c r="I616" s="14" t="s">
        <v>432</v>
      </c>
      <c r="J616" s="14" t="s">
        <v>886</v>
      </c>
      <c r="K616" s="17" t="str">
        <f>IFERROR(__xludf.DUMMYFUNCTION("XLOOKUP(B616,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""-"")"),"sivashankari.ec23@bitsathy.ac.in")</f>
        <v>sivashankari.ec23@bitsathy.ac.in</v>
      </c>
      <c r="L616" s="21" t="str">
        <f>IFERROR(__xludf.DUMMYFUNCTION("XLOOKUP(B616,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""-"")"),"9080141427")</f>
        <v>9080141427</v>
      </c>
      <c r="M616" s="14" t="s">
        <v>71</v>
      </c>
      <c r="N616" s="14" t="s">
        <v>927</v>
      </c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22"/>
      <c r="AA616" s="22"/>
      <c r="AB616" s="22"/>
      <c r="AC616" s="22"/>
      <c r="AD616" s="22"/>
    </row>
    <row r="617">
      <c r="A617" s="14">
        <v>616.0</v>
      </c>
      <c r="B617" s="29" t="s">
        <v>930</v>
      </c>
      <c r="C617" s="16" t="str">
        <f>IFERROR(__xludf.DUMMYFUNCTION("XLOOKUP(B617,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""-"")"),"DHAVAMANI S")</f>
        <v>DHAVAMANI S</v>
      </c>
      <c r="D617" s="17" t="str">
        <f>IFERROR(__xludf.DUMMYFUNCTION("XLOOKUP(B617,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17" s="14" t="s">
        <v>167</v>
      </c>
      <c r="F617" s="14">
        <v>4.2</v>
      </c>
      <c r="G617" s="14" t="s">
        <v>252</v>
      </c>
      <c r="H617" s="34"/>
      <c r="I617" s="14" t="s">
        <v>432</v>
      </c>
      <c r="J617" s="14" t="s">
        <v>886</v>
      </c>
      <c r="K617" s="17" t="str">
        <f>IFERROR(__xludf.DUMMYFUNCTION("XLOOKUP(B617,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""-"")"),"dhavamani.cs23@bitsathy.ac.in")</f>
        <v>dhavamani.cs23@bitsathy.ac.in</v>
      </c>
      <c r="L617" s="21" t="str">
        <f>IFERROR(__xludf.DUMMYFUNCTION("XLOOKUP(B617,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""-"")"),"9344336967")</f>
        <v>9344336967</v>
      </c>
      <c r="M617" s="14" t="s">
        <v>71</v>
      </c>
      <c r="N617" s="14" t="s">
        <v>927</v>
      </c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22"/>
      <c r="AA617" s="22"/>
      <c r="AB617" s="22"/>
      <c r="AC617" s="22"/>
      <c r="AD617" s="22"/>
    </row>
    <row r="618">
      <c r="A618" s="14">
        <v>617.0</v>
      </c>
      <c r="B618" s="29" t="s">
        <v>803</v>
      </c>
      <c r="C618" s="16" t="str">
        <f>IFERROR(__xludf.DUMMYFUNCTION("XLOOKUP(B618,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""-"")"),"BHARATH A S")</f>
        <v>BHARATH A S</v>
      </c>
      <c r="D618" s="17" t="str">
        <f>IFERROR(__xludf.DUMMYFUNCTION("XLOOKUP(B618,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618" s="14" t="s">
        <v>167</v>
      </c>
      <c r="F618" s="14">
        <v>4.2</v>
      </c>
      <c r="G618" s="14" t="s">
        <v>252</v>
      </c>
      <c r="H618" s="34"/>
      <c r="I618" s="14" t="s">
        <v>432</v>
      </c>
      <c r="J618" s="14" t="s">
        <v>266</v>
      </c>
      <c r="K618" s="17" t="str">
        <f>IFERROR(__xludf.DUMMYFUNCTION("XLOOKUP(B618,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""-"")"),"bharath.me23@bitsathy.ac.in")</f>
        <v>bharath.me23@bitsathy.ac.in</v>
      </c>
      <c r="L618" s="21" t="str">
        <f>IFERROR(__xludf.DUMMYFUNCTION("XLOOKUP(B618,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""-"")"),"7418754320")</f>
        <v>7418754320</v>
      </c>
      <c r="M618" s="14" t="s">
        <v>71</v>
      </c>
      <c r="N618" s="14" t="s">
        <v>927</v>
      </c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22"/>
      <c r="AA618" s="22"/>
      <c r="AB618" s="22"/>
      <c r="AC618" s="22"/>
      <c r="AD618" s="22"/>
    </row>
    <row r="619">
      <c r="A619" s="14">
        <v>618.0</v>
      </c>
      <c r="B619" s="29" t="s">
        <v>931</v>
      </c>
      <c r="C619" s="16" t="str">
        <f>IFERROR(__xludf.DUMMYFUNCTION("XLOOKUP(B619,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""-"")"),"GOKUL PRABHU M")</f>
        <v>GOKUL PRABHU M</v>
      </c>
      <c r="D619" s="17" t="str">
        <f>IFERROR(__xludf.DUMMYFUNCTION("XLOOKUP(B619,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19" s="14" t="s">
        <v>167</v>
      </c>
      <c r="F619" s="14">
        <v>4.2</v>
      </c>
      <c r="G619" s="14" t="s">
        <v>252</v>
      </c>
      <c r="H619" s="34"/>
      <c r="I619" s="14" t="s">
        <v>432</v>
      </c>
      <c r="J619" s="14" t="s">
        <v>886</v>
      </c>
      <c r="K619" s="17" t="str">
        <f>IFERROR(__xludf.DUMMYFUNCTION("XLOOKUP(B619,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""-"")"),"gokulprabhu.cs23@bitsathy.ac.in")</f>
        <v>gokulprabhu.cs23@bitsathy.ac.in</v>
      </c>
      <c r="L619" s="21" t="str">
        <f>IFERROR(__xludf.DUMMYFUNCTION("XLOOKUP(B619,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""-"")"),"8778874194")</f>
        <v>8778874194</v>
      </c>
      <c r="M619" s="14" t="s">
        <v>71</v>
      </c>
      <c r="N619" s="14" t="s">
        <v>927</v>
      </c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22"/>
      <c r="AA619" s="22"/>
      <c r="AB619" s="22"/>
      <c r="AC619" s="22"/>
      <c r="AD619" s="22"/>
    </row>
    <row r="620">
      <c r="A620" s="14">
        <v>619.0</v>
      </c>
      <c r="B620" s="29" t="s">
        <v>932</v>
      </c>
      <c r="C620" s="16" t="str">
        <f>IFERROR(__xludf.DUMMYFUNCTION("XLOOKUP(B620,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""-"")"),"JOSHIKA M")</f>
        <v>JOSHIKA M</v>
      </c>
      <c r="D620" s="17" t="str">
        <f>IFERROR(__xludf.DUMMYFUNCTION("XLOOKUP(B620,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20" s="14" t="s">
        <v>167</v>
      </c>
      <c r="F620" s="14">
        <v>4.2</v>
      </c>
      <c r="G620" s="14" t="s">
        <v>252</v>
      </c>
      <c r="H620" s="34"/>
      <c r="I620" s="14" t="s">
        <v>432</v>
      </c>
      <c r="J620" s="14" t="s">
        <v>886</v>
      </c>
      <c r="K620" s="17" t="str">
        <f>IFERROR(__xludf.DUMMYFUNCTION("XLOOKUP(B620,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""-"")"),"joshika.ec23@bitsathy.ac.in")</f>
        <v>joshika.ec23@bitsathy.ac.in</v>
      </c>
      <c r="L620" s="21" t="str">
        <f>IFERROR(__xludf.DUMMYFUNCTION("XLOOKUP(B620,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""-"")"),"9363632927")</f>
        <v>9363632927</v>
      </c>
      <c r="M620" s="14" t="s">
        <v>71</v>
      </c>
      <c r="N620" s="14" t="s">
        <v>927</v>
      </c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22"/>
      <c r="AA620" s="22"/>
      <c r="AB620" s="22"/>
      <c r="AC620" s="22"/>
      <c r="AD620" s="22"/>
    </row>
    <row r="621">
      <c r="A621" s="14">
        <v>620.0</v>
      </c>
      <c r="B621" s="58" t="s">
        <v>933</v>
      </c>
      <c r="C621" s="16" t="str">
        <f>IFERROR(__xludf.DUMMYFUNCTION("XLOOKUP(B621,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""-"")"),"HARINI K S")</f>
        <v>HARINI K S</v>
      </c>
      <c r="D621" s="17" t="str">
        <f>IFERROR(__xludf.DUMMYFUNCTION("XLOOKUP(B621,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1" s="33" t="s">
        <v>171</v>
      </c>
      <c r="F621" s="14">
        <v>3.5</v>
      </c>
      <c r="G621" s="14" t="s">
        <v>252</v>
      </c>
      <c r="H621" s="34"/>
      <c r="I621" s="14" t="s">
        <v>136</v>
      </c>
      <c r="J621" s="14" t="s">
        <v>934</v>
      </c>
      <c r="K621" s="17" t="str">
        <f>IFERROR(__xludf.DUMMYFUNCTION("XLOOKUP(B621,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""-"")"),"harini.ee23@bitsathy.ac.in")</f>
        <v>harini.ee23@bitsathy.ac.in</v>
      </c>
      <c r="L621" s="21" t="str">
        <f>IFERROR(__xludf.DUMMYFUNCTION("XLOOKUP(B621,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""-"")"),"8148892105")</f>
        <v>8148892105</v>
      </c>
      <c r="M621" s="14" t="s">
        <v>71</v>
      </c>
      <c r="N621" s="14" t="s">
        <v>935</v>
      </c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22"/>
      <c r="AA621" s="22"/>
      <c r="AB621" s="22"/>
      <c r="AC621" s="22"/>
      <c r="AD621" s="22"/>
    </row>
    <row r="622">
      <c r="A622" s="14">
        <v>621.0</v>
      </c>
      <c r="B622" s="58" t="s">
        <v>936</v>
      </c>
      <c r="C622" s="16" t="str">
        <f>IFERROR(__xludf.DUMMYFUNCTION("XLOOKUP(B622,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""-"")"),"JEEVA PRAKASH S")</f>
        <v>JEEVA PRAKASH S</v>
      </c>
      <c r="D622" s="17" t="str">
        <f>IFERROR(__xludf.DUMMYFUNCTION("XLOOKUP(B622,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2" s="33" t="s">
        <v>171</v>
      </c>
      <c r="F622" s="14">
        <v>3.5</v>
      </c>
      <c r="G622" s="14" t="s">
        <v>252</v>
      </c>
      <c r="H622" s="34"/>
      <c r="I622" s="14" t="s">
        <v>136</v>
      </c>
      <c r="J622" s="14" t="s">
        <v>934</v>
      </c>
      <c r="K622" s="17" t="str">
        <f>IFERROR(__xludf.DUMMYFUNCTION("XLOOKUP(B622,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""-"")"),"jeevaprakashs.ee23@bitsathy.ac.in")</f>
        <v>jeevaprakashs.ee23@bitsathy.ac.in</v>
      </c>
      <c r="L622" s="21" t="str">
        <f>IFERROR(__xludf.DUMMYFUNCTION("XLOOKUP(B622,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""-"")"),"9345415322")</f>
        <v>9345415322</v>
      </c>
      <c r="M622" s="14" t="s">
        <v>71</v>
      </c>
      <c r="N622" s="14" t="s">
        <v>935</v>
      </c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22"/>
      <c r="AA622" s="22"/>
      <c r="AB622" s="22"/>
      <c r="AC622" s="22"/>
      <c r="AD622" s="22"/>
    </row>
    <row r="623">
      <c r="A623" s="14">
        <v>622.0</v>
      </c>
      <c r="B623" s="58" t="s">
        <v>937</v>
      </c>
      <c r="C623" s="16" t="str">
        <f>IFERROR(__xludf.DUMMYFUNCTION("XLOOKUP(B623,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""-"")"),"KANISHK S J")</f>
        <v>KANISHK S J</v>
      </c>
      <c r="D623" s="17" t="str">
        <f>IFERROR(__xludf.DUMMYFUNCTION("XLOOKUP(B623,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3" s="33" t="s">
        <v>171</v>
      </c>
      <c r="F623" s="14">
        <v>3.5</v>
      </c>
      <c r="G623" s="14" t="s">
        <v>252</v>
      </c>
      <c r="H623" s="34"/>
      <c r="I623" s="14" t="s">
        <v>136</v>
      </c>
      <c r="J623" s="14" t="s">
        <v>934</v>
      </c>
      <c r="K623" s="17" t="str">
        <f>IFERROR(__xludf.DUMMYFUNCTION("XLOOKUP(B623,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""-"")"),"kanishksj.ee23@bitsathy.ac.in")</f>
        <v>kanishksj.ee23@bitsathy.ac.in</v>
      </c>
      <c r="L623" s="21" t="str">
        <f>IFERROR(__xludf.DUMMYFUNCTION("XLOOKUP(B623,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""-"")"),"7825038087")</f>
        <v>7825038087</v>
      </c>
      <c r="M623" s="14" t="s">
        <v>71</v>
      </c>
      <c r="N623" s="14" t="s">
        <v>935</v>
      </c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22"/>
      <c r="AA623" s="22"/>
      <c r="AB623" s="22"/>
      <c r="AC623" s="22"/>
      <c r="AD623" s="22"/>
    </row>
    <row r="624">
      <c r="A624" s="14">
        <v>623.0</v>
      </c>
      <c r="B624" s="58" t="s">
        <v>919</v>
      </c>
      <c r="C624" s="16" t="str">
        <f>IFERROR(__xludf.DUMMYFUNCTION("XLOOKUP(B624,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""-"")"),"KAVIYARASU V K")</f>
        <v>KAVIYARASU V K</v>
      </c>
      <c r="D624" s="17" t="str">
        <f>IFERROR(__xludf.DUMMYFUNCTION("XLOOKUP(B624,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4" s="33" t="s">
        <v>171</v>
      </c>
      <c r="F624" s="14">
        <v>3.5</v>
      </c>
      <c r="G624" s="14" t="s">
        <v>252</v>
      </c>
      <c r="H624" s="34"/>
      <c r="I624" s="14" t="s">
        <v>136</v>
      </c>
      <c r="J624" s="14" t="s">
        <v>934</v>
      </c>
      <c r="K624" s="17" t="str">
        <f>IFERROR(__xludf.DUMMYFUNCTION("XLOOKUP(B624,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""-"")"),"kaviyarasu.ee23@bitsathy.ac.in")</f>
        <v>kaviyarasu.ee23@bitsathy.ac.in</v>
      </c>
      <c r="L624" s="21" t="str">
        <f>IFERROR(__xludf.DUMMYFUNCTION("XLOOKUP(B624,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""-"")"),"8668081817")</f>
        <v>8668081817</v>
      </c>
      <c r="M624" s="14" t="s">
        <v>71</v>
      </c>
      <c r="N624" s="14" t="s">
        <v>935</v>
      </c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22"/>
      <c r="AA624" s="22"/>
      <c r="AB624" s="22"/>
      <c r="AC624" s="22"/>
      <c r="AD624" s="22"/>
    </row>
    <row r="625">
      <c r="A625" s="14">
        <v>624.0</v>
      </c>
      <c r="B625" s="58" t="s">
        <v>917</v>
      </c>
      <c r="C625" s="16" t="str">
        <f>IFERROR(__xludf.DUMMYFUNCTION("XLOOKUP(B625,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""-"")"),"MATHIYARASI K")</f>
        <v>MATHIYARASI K</v>
      </c>
      <c r="D625" s="17" t="str">
        <f>IFERROR(__xludf.DUMMYFUNCTION("XLOOKUP(B625,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5" s="33" t="s">
        <v>171</v>
      </c>
      <c r="F625" s="14">
        <v>3.5</v>
      </c>
      <c r="G625" s="14" t="s">
        <v>252</v>
      </c>
      <c r="H625" s="34"/>
      <c r="I625" s="14" t="s">
        <v>136</v>
      </c>
      <c r="J625" s="14" t="s">
        <v>934</v>
      </c>
      <c r="K625" s="17" t="str">
        <f>IFERROR(__xludf.DUMMYFUNCTION("XLOOKUP(B625,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""-"")"),"mathiyarasik.ee23@bitsathy.ac.in")</f>
        <v>mathiyarasik.ee23@bitsathy.ac.in</v>
      </c>
      <c r="L625" s="21" t="str">
        <f>IFERROR(__xludf.DUMMYFUNCTION("XLOOKUP(B625,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""-"")"),"9842528966")</f>
        <v>9842528966</v>
      </c>
      <c r="M625" s="14" t="s">
        <v>71</v>
      </c>
      <c r="N625" s="14" t="s">
        <v>935</v>
      </c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22"/>
      <c r="AA625" s="22"/>
      <c r="AB625" s="22"/>
      <c r="AC625" s="22"/>
      <c r="AD625" s="22"/>
    </row>
    <row r="626">
      <c r="A626" s="14">
        <v>625.0</v>
      </c>
      <c r="B626" s="58" t="s">
        <v>938</v>
      </c>
      <c r="C626" s="16" t="str">
        <f>IFERROR(__xludf.DUMMYFUNCTION("XLOOKUP(B626,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""-"")"),"VASUKI A S")</f>
        <v>VASUKI A S</v>
      </c>
      <c r="D626" s="17" t="str">
        <f>IFERROR(__xludf.DUMMYFUNCTION("XLOOKUP(B626,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6" s="33" t="s">
        <v>171</v>
      </c>
      <c r="F626" s="14">
        <v>3.5</v>
      </c>
      <c r="G626" s="14" t="s">
        <v>252</v>
      </c>
      <c r="H626" s="34"/>
      <c r="I626" s="14" t="s">
        <v>136</v>
      </c>
      <c r="J626" s="14" t="s">
        <v>934</v>
      </c>
      <c r="K626" s="17" t="str">
        <f>IFERROR(__xludf.DUMMYFUNCTION("XLOOKUP(B626,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""-"")"),"vasukias.ee23@bitsathy.ac.in")</f>
        <v>vasukias.ee23@bitsathy.ac.in</v>
      </c>
      <c r="L626" s="21" t="str">
        <f>IFERROR(__xludf.DUMMYFUNCTION("XLOOKUP(B626,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""-"")"),"7550318381")</f>
        <v>7550318381</v>
      </c>
      <c r="M626" s="14" t="s">
        <v>71</v>
      </c>
      <c r="N626" s="14" t="s">
        <v>935</v>
      </c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22"/>
      <c r="AA626" s="22"/>
      <c r="AB626" s="22"/>
      <c r="AC626" s="22"/>
      <c r="AD626" s="22"/>
    </row>
    <row r="627">
      <c r="A627" s="14">
        <v>626.0</v>
      </c>
      <c r="B627" s="58" t="s">
        <v>939</v>
      </c>
      <c r="C627" s="16" t="str">
        <f>IFERROR(__xludf.DUMMYFUNCTION("XLOOKUP(B627,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""-"")"),"RANJITH R")</f>
        <v>RANJITH R</v>
      </c>
      <c r="D627" s="17" t="str">
        <f>IFERROR(__xludf.DUMMYFUNCTION("XLOOKUP(B627,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27" s="33" t="s">
        <v>171</v>
      </c>
      <c r="F627" s="14">
        <v>3.5</v>
      </c>
      <c r="G627" s="14" t="s">
        <v>252</v>
      </c>
      <c r="H627" s="34"/>
      <c r="I627" s="14" t="s">
        <v>136</v>
      </c>
      <c r="J627" s="14" t="s">
        <v>934</v>
      </c>
      <c r="K627" s="17" t="str">
        <f>IFERROR(__xludf.DUMMYFUNCTION("XLOOKUP(B627,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""-"")"),"ranjithr.ee23@bitsathy.ac.in")</f>
        <v>ranjithr.ee23@bitsathy.ac.in</v>
      </c>
      <c r="L627" s="21" t="str">
        <f>IFERROR(__xludf.DUMMYFUNCTION("XLOOKUP(B627,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""-"")"),"9345403932")</f>
        <v>9345403932</v>
      </c>
      <c r="M627" s="14" t="s">
        <v>71</v>
      </c>
      <c r="N627" s="14" t="s">
        <v>935</v>
      </c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22"/>
      <c r="AA627" s="22"/>
      <c r="AB627" s="22"/>
      <c r="AC627" s="22"/>
      <c r="AD627" s="22"/>
    </row>
    <row r="628">
      <c r="A628" s="14">
        <v>627.0</v>
      </c>
      <c r="B628" s="58" t="s">
        <v>923</v>
      </c>
      <c r="C628" s="16" t="str">
        <f>IFERROR(__xludf.DUMMYFUNCTION("XLOOKUP(B628,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""-"")"),"AHARSHAN D")</f>
        <v>AHARSHAN D</v>
      </c>
      <c r="D628" s="17" t="str">
        <f>IFERROR(__xludf.DUMMYFUNCTION("XLOOKUP(B628,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28" s="33" t="s">
        <v>171</v>
      </c>
      <c r="F628" s="14">
        <v>3.5</v>
      </c>
      <c r="G628" s="14" t="s">
        <v>252</v>
      </c>
      <c r="H628" s="34"/>
      <c r="I628" s="14" t="s">
        <v>136</v>
      </c>
      <c r="J628" s="14" t="s">
        <v>934</v>
      </c>
      <c r="K628" s="17" t="str">
        <f>IFERROR(__xludf.DUMMYFUNCTION("XLOOKUP(B628,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""-"")"),"aharshand.ec23@bitsathy.ac.in")</f>
        <v>aharshand.ec23@bitsathy.ac.in</v>
      </c>
      <c r="L628" s="21" t="str">
        <f>IFERROR(__xludf.DUMMYFUNCTION("XLOOKUP(B628,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""-"")"),"9150430694")</f>
        <v>9150430694</v>
      </c>
      <c r="M628" s="14" t="s">
        <v>71</v>
      </c>
      <c r="N628" s="14" t="s">
        <v>935</v>
      </c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22"/>
      <c r="AA628" s="22"/>
      <c r="AB628" s="22"/>
      <c r="AC628" s="22"/>
      <c r="AD628" s="22"/>
    </row>
    <row r="629">
      <c r="A629" s="14">
        <v>628.0</v>
      </c>
      <c r="B629" s="58" t="s">
        <v>940</v>
      </c>
      <c r="C629" s="16" t="str">
        <f>IFERROR(__xludf.DUMMYFUNCTION("XLOOKUP(B629,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""-"")"),"AKSHAYA G J")</f>
        <v>AKSHAYA G J</v>
      </c>
      <c r="D629" s="17" t="str">
        <f>IFERROR(__xludf.DUMMYFUNCTION("XLOOKUP(B629,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29" s="33" t="s">
        <v>171</v>
      </c>
      <c r="F629" s="14">
        <v>3.5</v>
      </c>
      <c r="G629" s="14" t="s">
        <v>252</v>
      </c>
      <c r="H629" s="34"/>
      <c r="I629" s="14" t="s">
        <v>136</v>
      </c>
      <c r="J629" s="14" t="s">
        <v>934</v>
      </c>
      <c r="K629" s="17" t="str">
        <f>IFERROR(__xludf.DUMMYFUNCTION("XLOOKUP(B629,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""-"")"),"akshaya.ec23@bitsathy.ac.in")</f>
        <v>akshaya.ec23@bitsathy.ac.in</v>
      </c>
      <c r="L629" s="21" t="str">
        <f>IFERROR(__xludf.DUMMYFUNCTION("XLOOKUP(B629,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""-"")"),"7845587484")</f>
        <v>7845587484</v>
      </c>
      <c r="M629" s="14" t="s">
        <v>71</v>
      </c>
      <c r="N629" s="14" t="s">
        <v>935</v>
      </c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22"/>
      <c r="AA629" s="22"/>
      <c r="AB629" s="22"/>
      <c r="AC629" s="22"/>
      <c r="AD629" s="22"/>
    </row>
    <row r="630">
      <c r="A630" s="14">
        <v>629.0</v>
      </c>
      <c r="B630" s="58" t="s">
        <v>941</v>
      </c>
      <c r="C630" s="16" t="str">
        <f>IFERROR(__xludf.DUMMYFUNCTION("XLOOKUP(B630,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""-"")"),"ARTHI  K")</f>
        <v>ARTHI  K</v>
      </c>
      <c r="D630" s="17" t="str">
        <f>IFERROR(__xludf.DUMMYFUNCTION("XLOOKUP(B630,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0" s="33" t="s">
        <v>171</v>
      </c>
      <c r="F630" s="14">
        <v>3.5</v>
      </c>
      <c r="G630" s="14" t="s">
        <v>252</v>
      </c>
      <c r="H630" s="34"/>
      <c r="I630" s="14" t="s">
        <v>136</v>
      </c>
      <c r="J630" s="14" t="s">
        <v>934</v>
      </c>
      <c r="K630" s="17" t="str">
        <f>IFERROR(__xludf.DUMMYFUNCTION("XLOOKUP(B630,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""-"")"),"arthi.ec23@bitsathy.ac.in")</f>
        <v>arthi.ec23@bitsathy.ac.in</v>
      </c>
      <c r="L630" s="21" t="str">
        <f>IFERROR(__xludf.DUMMYFUNCTION("XLOOKUP(B630,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""-"")"),"9342739147")</f>
        <v>9342739147</v>
      </c>
      <c r="M630" s="14" t="s">
        <v>71</v>
      </c>
      <c r="N630" s="14" t="s">
        <v>935</v>
      </c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22"/>
      <c r="AA630" s="22"/>
      <c r="AB630" s="22"/>
      <c r="AC630" s="22"/>
      <c r="AD630" s="22"/>
    </row>
    <row r="631">
      <c r="A631" s="14">
        <v>630.0</v>
      </c>
      <c r="B631" s="58" t="s">
        <v>920</v>
      </c>
      <c r="C631" s="16" t="str">
        <f>IFERROR(__xludf.DUMMYFUNCTION("XLOOKUP(B631,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""-"")"),"DHARSAN A K")</f>
        <v>DHARSAN A K</v>
      </c>
      <c r="D631" s="17" t="str">
        <f>IFERROR(__xludf.DUMMYFUNCTION("XLOOKUP(B631,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1" s="33" t="s">
        <v>171</v>
      </c>
      <c r="F631" s="14">
        <v>3.5</v>
      </c>
      <c r="G631" s="14" t="s">
        <v>252</v>
      </c>
      <c r="H631" s="34"/>
      <c r="I631" s="14" t="s">
        <v>136</v>
      </c>
      <c r="J631" s="14" t="s">
        <v>934</v>
      </c>
      <c r="K631" s="17" t="str">
        <f>IFERROR(__xludf.DUMMYFUNCTION("XLOOKUP(B631,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""-"")"),"dharsan.ec23@bitsathy.ac.in")</f>
        <v>dharsan.ec23@bitsathy.ac.in</v>
      </c>
      <c r="L631" s="21" t="str">
        <f>IFERROR(__xludf.DUMMYFUNCTION("XLOOKUP(B631,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""-"")"),"9842663916")</f>
        <v>9842663916</v>
      </c>
      <c r="M631" s="14" t="s">
        <v>71</v>
      </c>
      <c r="N631" s="14" t="s">
        <v>935</v>
      </c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22"/>
      <c r="AA631" s="22"/>
      <c r="AB631" s="22"/>
      <c r="AC631" s="22"/>
      <c r="AD631" s="22"/>
    </row>
    <row r="632">
      <c r="A632" s="14">
        <v>631.0</v>
      </c>
      <c r="B632" s="58" t="s">
        <v>942</v>
      </c>
      <c r="C632" s="16" t="str">
        <f>IFERROR(__xludf.DUMMYFUNCTION("XLOOKUP(B632,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""-"")"),"KAMALI KASTHURI K")</f>
        <v>KAMALI KASTHURI K</v>
      </c>
      <c r="D632" s="17" t="str">
        <f>IFERROR(__xludf.DUMMYFUNCTION("XLOOKUP(B632,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2" s="33" t="s">
        <v>171</v>
      </c>
      <c r="F632" s="14">
        <v>3.5</v>
      </c>
      <c r="G632" s="14" t="s">
        <v>252</v>
      </c>
      <c r="H632" s="34"/>
      <c r="I632" s="14" t="s">
        <v>136</v>
      </c>
      <c r="J632" s="14" t="s">
        <v>934</v>
      </c>
      <c r="K632" s="17" t="str">
        <f>IFERROR(__xludf.DUMMYFUNCTION("XLOOKUP(B632,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""-"")"),"kamalikasthuri.ec23@bitsathy.ac.in")</f>
        <v>kamalikasthuri.ec23@bitsathy.ac.in</v>
      </c>
      <c r="L632" s="21" t="str">
        <f>IFERROR(__xludf.DUMMYFUNCTION("XLOOKUP(B632,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""-"")"),"9092590632")</f>
        <v>9092590632</v>
      </c>
      <c r="M632" s="14" t="s">
        <v>71</v>
      </c>
      <c r="N632" s="14" t="s">
        <v>935</v>
      </c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22"/>
      <c r="AA632" s="22"/>
      <c r="AB632" s="22"/>
      <c r="AC632" s="22"/>
      <c r="AD632" s="22"/>
    </row>
    <row r="633">
      <c r="A633" s="14">
        <v>632.0</v>
      </c>
      <c r="B633" s="58" t="s">
        <v>943</v>
      </c>
      <c r="C633" s="16" t="str">
        <f>IFERROR(__xludf.DUMMYFUNCTION("XLOOKUP(B633,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""-"")"),"MANIMEGALAI M")</f>
        <v>MANIMEGALAI M</v>
      </c>
      <c r="D633" s="17" t="str">
        <f>IFERROR(__xludf.DUMMYFUNCTION("XLOOKUP(B633,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3" s="33" t="s">
        <v>171</v>
      </c>
      <c r="F633" s="14">
        <v>3.5</v>
      </c>
      <c r="G633" s="14" t="s">
        <v>252</v>
      </c>
      <c r="H633" s="34"/>
      <c r="I633" s="14" t="s">
        <v>136</v>
      </c>
      <c r="J633" s="14" t="s">
        <v>934</v>
      </c>
      <c r="K633" s="17" t="str">
        <f>IFERROR(__xludf.DUMMYFUNCTION("XLOOKUP(B633,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""-"")"),"manimegalai.ec23@bitsathy.ac.in")</f>
        <v>manimegalai.ec23@bitsathy.ac.in</v>
      </c>
      <c r="L633" s="21" t="str">
        <f>IFERROR(__xludf.DUMMYFUNCTION("XLOOKUP(B633,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""-"")"),"9994392288")</f>
        <v>9994392288</v>
      </c>
      <c r="M633" s="14" t="s">
        <v>71</v>
      </c>
      <c r="N633" s="14" t="s">
        <v>935</v>
      </c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22"/>
      <c r="AA633" s="22"/>
      <c r="AB633" s="22"/>
      <c r="AC633" s="22"/>
      <c r="AD633" s="22"/>
    </row>
    <row r="634">
      <c r="A634" s="14">
        <v>633.0</v>
      </c>
      <c r="B634" s="58" t="s">
        <v>944</v>
      </c>
      <c r="C634" s="16" t="str">
        <f>IFERROR(__xludf.DUMMYFUNCTION("XLOOKUP(B634,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""-"")"),"MARISH M")</f>
        <v>MARISH M</v>
      </c>
      <c r="D634" s="17" t="str">
        <f>IFERROR(__xludf.DUMMYFUNCTION("XLOOKUP(B634,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4" s="33" t="s">
        <v>171</v>
      </c>
      <c r="F634" s="14">
        <v>3.5</v>
      </c>
      <c r="G634" s="14" t="s">
        <v>252</v>
      </c>
      <c r="H634" s="34"/>
      <c r="I634" s="14" t="s">
        <v>136</v>
      </c>
      <c r="J634" s="14" t="s">
        <v>934</v>
      </c>
      <c r="K634" s="17" t="str">
        <f>IFERROR(__xludf.DUMMYFUNCTION("XLOOKUP(B634,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""-"")"),"marish.ec23@bitsathy.ac.in")</f>
        <v>marish.ec23@bitsathy.ac.in</v>
      </c>
      <c r="L634" s="21" t="str">
        <f>IFERROR(__xludf.DUMMYFUNCTION("XLOOKUP(B634,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""-"")"),"8610085477")</f>
        <v>8610085477</v>
      </c>
      <c r="M634" s="14" t="s">
        <v>71</v>
      </c>
      <c r="N634" s="14" t="s">
        <v>935</v>
      </c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22"/>
      <c r="AA634" s="22"/>
      <c r="AB634" s="22"/>
      <c r="AC634" s="22"/>
      <c r="AD634" s="22"/>
    </row>
    <row r="635">
      <c r="A635" s="14">
        <v>634.0</v>
      </c>
      <c r="B635" s="58" t="s">
        <v>945</v>
      </c>
      <c r="C635" s="16" t="str">
        <f>IFERROR(__xludf.DUMMYFUNCTION("XLOOKUP(B635,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""-"")"),"NAIMALOSHINI D")</f>
        <v>NAIMALOSHINI D</v>
      </c>
      <c r="D635" s="17" t="str">
        <f>IFERROR(__xludf.DUMMYFUNCTION("XLOOKUP(B635,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5" s="33" t="s">
        <v>171</v>
      </c>
      <c r="F635" s="14">
        <v>3.5</v>
      </c>
      <c r="G635" s="14" t="s">
        <v>252</v>
      </c>
      <c r="H635" s="34"/>
      <c r="I635" s="14" t="s">
        <v>136</v>
      </c>
      <c r="J635" s="14" t="s">
        <v>934</v>
      </c>
      <c r="K635" s="17" t="str">
        <f>IFERROR(__xludf.DUMMYFUNCTION("XLOOKUP(B635,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""-"")"),"naimaloshini.ec23@bitsathy.ac.in")</f>
        <v>naimaloshini.ec23@bitsathy.ac.in</v>
      </c>
      <c r="L635" s="21" t="str">
        <f>IFERROR(__xludf.DUMMYFUNCTION("XLOOKUP(B635,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""-"")"),"8220104600")</f>
        <v>8220104600</v>
      </c>
      <c r="M635" s="14" t="s">
        <v>71</v>
      </c>
      <c r="N635" s="14" t="s">
        <v>935</v>
      </c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22"/>
      <c r="AA635" s="22"/>
      <c r="AB635" s="22"/>
      <c r="AC635" s="22"/>
      <c r="AD635" s="22"/>
    </row>
    <row r="636">
      <c r="A636" s="14">
        <v>635.0</v>
      </c>
      <c r="B636" s="58" t="s">
        <v>946</v>
      </c>
      <c r="C636" s="16" t="str">
        <f>IFERROR(__xludf.DUMMYFUNCTION("XLOOKUP(B636,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 KUMAR K V")</f>
        <v>NAVEEN KUMAR K V</v>
      </c>
      <c r="D636" s="17" t="str">
        <f>IFERROR(__xludf.DUMMYFUNCTION("XLOOKUP(B636,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6" s="33" t="s">
        <v>171</v>
      </c>
      <c r="F636" s="14">
        <v>3.5</v>
      </c>
      <c r="G636" s="14" t="s">
        <v>252</v>
      </c>
      <c r="H636" s="34"/>
      <c r="I636" s="14" t="s">
        <v>136</v>
      </c>
      <c r="J636" s="14" t="s">
        <v>934</v>
      </c>
      <c r="K636" s="17" t="str">
        <f>IFERROR(__xludf.DUMMYFUNCTION("XLOOKUP(B636,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""-"")"),"naveenkumar.ec23@bitsathy.ac.in")</f>
        <v>naveenkumar.ec23@bitsathy.ac.in</v>
      </c>
      <c r="L636" s="21" t="str">
        <f>IFERROR(__xludf.DUMMYFUNCTION("XLOOKUP(B636,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""-"")"),"9344833767")</f>
        <v>9344833767</v>
      </c>
      <c r="M636" s="14" t="s">
        <v>71</v>
      </c>
      <c r="N636" s="14" t="s">
        <v>935</v>
      </c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22"/>
      <c r="AA636" s="22"/>
      <c r="AB636" s="22"/>
      <c r="AC636" s="22"/>
      <c r="AD636" s="22"/>
    </row>
    <row r="637">
      <c r="A637" s="14">
        <v>636.0</v>
      </c>
      <c r="B637" s="58" t="s">
        <v>947</v>
      </c>
      <c r="C637" s="16" t="str">
        <f>IFERROR(__xludf.DUMMYFUNCTION("XLOOKUP(B637,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""-"")"),"PALANI MURUGAN L")</f>
        <v>PALANI MURUGAN L</v>
      </c>
      <c r="D637" s="17" t="str">
        <f>IFERROR(__xludf.DUMMYFUNCTION("XLOOKUP(B637,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7" s="33" t="s">
        <v>171</v>
      </c>
      <c r="F637" s="14">
        <v>3.5</v>
      </c>
      <c r="G637" s="14" t="s">
        <v>252</v>
      </c>
      <c r="H637" s="34"/>
      <c r="I637" s="14" t="s">
        <v>136</v>
      </c>
      <c r="J637" s="14" t="s">
        <v>934</v>
      </c>
      <c r="K637" s="17" t="str">
        <f>IFERROR(__xludf.DUMMYFUNCTION("XLOOKUP(B637,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""-"")"),"palanimurugan.ec23@bitsathy.ac.in")</f>
        <v>palanimurugan.ec23@bitsathy.ac.in</v>
      </c>
      <c r="L637" s="21" t="str">
        <f>IFERROR(__xludf.DUMMYFUNCTION("XLOOKUP(B637,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""-"")"),"8637475320")</f>
        <v>8637475320</v>
      </c>
      <c r="M637" s="14" t="s">
        <v>71</v>
      </c>
      <c r="N637" s="14" t="s">
        <v>935</v>
      </c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22"/>
      <c r="AA637" s="22"/>
      <c r="AB637" s="22"/>
      <c r="AC637" s="22"/>
      <c r="AD637" s="22"/>
    </row>
    <row r="638">
      <c r="A638" s="14">
        <v>637.0</v>
      </c>
      <c r="B638" s="58" t="s">
        <v>922</v>
      </c>
      <c r="C638" s="16" t="str">
        <f>IFERROR(__xludf.DUMMYFUNCTION("XLOOKUP(B638,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""-"")"),"PRASANTH P")</f>
        <v>PRASANTH P</v>
      </c>
      <c r="D638" s="17" t="str">
        <f>IFERROR(__xludf.DUMMYFUNCTION("XLOOKUP(B638,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8" s="33" t="s">
        <v>171</v>
      </c>
      <c r="F638" s="14">
        <v>3.5</v>
      </c>
      <c r="G638" s="14" t="s">
        <v>252</v>
      </c>
      <c r="H638" s="34"/>
      <c r="I638" s="14" t="s">
        <v>136</v>
      </c>
      <c r="J638" s="14" t="s">
        <v>934</v>
      </c>
      <c r="K638" s="17" t="str">
        <f>IFERROR(__xludf.DUMMYFUNCTION("XLOOKUP(B638,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""-"")"),"prasanthp.ec23@bitsathy.ac.in")</f>
        <v>prasanthp.ec23@bitsathy.ac.in</v>
      </c>
      <c r="L638" s="21" t="str">
        <f>IFERROR(__xludf.DUMMYFUNCTION("XLOOKUP(B638,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""-"")"),"9043604626")</f>
        <v>9043604626</v>
      </c>
      <c r="M638" s="14" t="s">
        <v>71</v>
      </c>
      <c r="N638" s="14" t="s">
        <v>935</v>
      </c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22"/>
      <c r="AA638" s="22"/>
      <c r="AB638" s="22"/>
      <c r="AC638" s="22"/>
      <c r="AD638" s="22"/>
    </row>
    <row r="639">
      <c r="A639" s="14">
        <v>638.0</v>
      </c>
      <c r="B639" s="58" t="s">
        <v>948</v>
      </c>
      <c r="C639" s="16" t="str">
        <f>IFERROR(__xludf.DUMMYFUNCTION("XLOOKUP(B639,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""-"")"),"SANJEEV S")</f>
        <v>SANJEEV S</v>
      </c>
      <c r="D639" s="17" t="str">
        <f>IFERROR(__xludf.DUMMYFUNCTION("XLOOKUP(B639,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39" s="33" t="s">
        <v>171</v>
      </c>
      <c r="F639" s="14">
        <v>3.5</v>
      </c>
      <c r="G639" s="14" t="s">
        <v>252</v>
      </c>
      <c r="H639" s="34"/>
      <c r="I639" s="14" t="s">
        <v>136</v>
      </c>
      <c r="J639" s="14" t="s">
        <v>934</v>
      </c>
      <c r="K639" s="17" t="str">
        <f>IFERROR(__xludf.DUMMYFUNCTION("XLOOKUP(B639,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""-"")"),"sanjeevs.ec23@bitsathy.ac.in")</f>
        <v>sanjeevs.ec23@bitsathy.ac.in</v>
      </c>
      <c r="L639" s="21" t="str">
        <f>IFERROR(__xludf.DUMMYFUNCTION("XLOOKUP(B639,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""-"")"),"9025131398")</f>
        <v>9025131398</v>
      </c>
      <c r="M639" s="14" t="s">
        <v>71</v>
      </c>
      <c r="N639" s="14" t="s">
        <v>935</v>
      </c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22"/>
      <c r="AA639" s="22"/>
      <c r="AB639" s="22"/>
      <c r="AC639" s="22"/>
      <c r="AD639" s="22"/>
    </row>
    <row r="640">
      <c r="A640" s="14">
        <v>639.0</v>
      </c>
      <c r="B640" s="58" t="s">
        <v>949</v>
      </c>
      <c r="C640" s="16" t="str">
        <f>IFERROR(__xludf.DUMMYFUNCTION("XLOOKUP(B640,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""-"")"),"SUBITHA S")</f>
        <v>SUBITHA S</v>
      </c>
      <c r="D640" s="17" t="str">
        <f>IFERROR(__xludf.DUMMYFUNCTION("XLOOKUP(B640,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0" s="33" t="s">
        <v>171</v>
      </c>
      <c r="F640" s="14">
        <v>3.5</v>
      </c>
      <c r="G640" s="14" t="s">
        <v>252</v>
      </c>
      <c r="H640" s="34"/>
      <c r="I640" s="14" t="s">
        <v>136</v>
      </c>
      <c r="J640" s="14" t="s">
        <v>934</v>
      </c>
      <c r="K640" s="17" t="str">
        <f>IFERROR(__xludf.DUMMYFUNCTION("XLOOKUP(B640,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""-"")"),"subitha.ec23@bitsathy.ac.in")</f>
        <v>subitha.ec23@bitsathy.ac.in</v>
      </c>
      <c r="L640" s="21" t="str">
        <f>IFERROR(__xludf.DUMMYFUNCTION("XLOOKUP(B640,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""-"")"),"7695859539")</f>
        <v>7695859539</v>
      </c>
      <c r="M640" s="14" t="s">
        <v>71</v>
      </c>
      <c r="N640" s="14" t="s">
        <v>935</v>
      </c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22"/>
      <c r="AA640" s="22"/>
      <c r="AB640" s="22"/>
      <c r="AC640" s="22"/>
      <c r="AD640" s="22"/>
    </row>
    <row r="641">
      <c r="A641" s="14">
        <v>640.0</v>
      </c>
      <c r="B641" s="58" t="s">
        <v>950</v>
      </c>
      <c r="C641" s="16" t="str">
        <f>IFERROR(__xludf.DUMMYFUNCTION("XLOOKUP(B641,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""-"")"),"SURYA S V")</f>
        <v>SURYA S V</v>
      </c>
      <c r="D641" s="17" t="str">
        <f>IFERROR(__xludf.DUMMYFUNCTION("XLOOKUP(B641,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1" s="33" t="s">
        <v>171</v>
      </c>
      <c r="F641" s="14">
        <v>3.5</v>
      </c>
      <c r="G641" s="14" t="s">
        <v>252</v>
      </c>
      <c r="H641" s="34"/>
      <c r="I641" s="14" t="s">
        <v>136</v>
      </c>
      <c r="J641" s="14" t="s">
        <v>934</v>
      </c>
      <c r="K641" s="17" t="str">
        <f>IFERROR(__xludf.DUMMYFUNCTION("XLOOKUP(B641,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""-"")"),"surya.ec23@bitsathy.ac.in")</f>
        <v>surya.ec23@bitsathy.ac.in</v>
      </c>
      <c r="L641" s="21" t="str">
        <f>IFERROR(__xludf.DUMMYFUNCTION("XLOOKUP(B641,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""-"")"),"9944252181")</f>
        <v>9944252181</v>
      </c>
      <c r="M641" s="14" t="s">
        <v>71</v>
      </c>
      <c r="N641" s="14" t="s">
        <v>935</v>
      </c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22"/>
      <c r="AA641" s="22"/>
      <c r="AB641" s="22"/>
      <c r="AC641" s="22"/>
      <c r="AD641" s="22"/>
    </row>
    <row r="642">
      <c r="A642" s="14">
        <v>641.0</v>
      </c>
      <c r="B642" s="58" t="s">
        <v>951</v>
      </c>
      <c r="C642" s="16" t="str">
        <f>IFERROR(__xludf.DUMMYFUNCTION("XLOOKUP(B642,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""-"")"),"THARUNVENKATESH K")</f>
        <v>THARUNVENKATESH K</v>
      </c>
      <c r="D642" s="17" t="str">
        <f>IFERROR(__xludf.DUMMYFUNCTION("XLOOKUP(B642,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2" s="33" t="s">
        <v>171</v>
      </c>
      <c r="F642" s="14">
        <v>3.5</v>
      </c>
      <c r="G642" s="14" t="s">
        <v>252</v>
      </c>
      <c r="H642" s="34"/>
      <c r="I642" s="14" t="s">
        <v>136</v>
      </c>
      <c r="J642" s="14" t="s">
        <v>934</v>
      </c>
      <c r="K642" s="17" t="str">
        <f>IFERROR(__xludf.DUMMYFUNCTION("XLOOKUP(B642,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""-"")"),"tharunvenkateshk.ec23@bitsathy.ac.in")</f>
        <v>tharunvenkateshk.ec23@bitsathy.ac.in</v>
      </c>
      <c r="L642" s="21" t="str">
        <f>IFERROR(__xludf.DUMMYFUNCTION("XLOOKUP(B642,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""-"")"),"8489566256")</f>
        <v>8489566256</v>
      </c>
      <c r="M642" s="14" t="s">
        <v>71</v>
      </c>
      <c r="N642" s="14" t="s">
        <v>935</v>
      </c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22"/>
      <c r="AA642" s="22"/>
      <c r="AB642" s="22"/>
      <c r="AC642" s="22"/>
      <c r="AD642" s="22"/>
    </row>
    <row r="643">
      <c r="A643" s="14">
        <v>642.0</v>
      </c>
      <c r="B643" s="58" t="s">
        <v>952</v>
      </c>
      <c r="C643" s="16" t="str">
        <f>IFERROR(__xludf.DUMMYFUNCTION("XLOOKUP(B643,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""-"")"),"VIGNESH M")</f>
        <v>VIGNESH M</v>
      </c>
      <c r="D643" s="17" t="str">
        <f>IFERROR(__xludf.DUMMYFUNCTION("XLOOKUP(B643,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3" s="33" t="s">
        <v>171</v>
      </c>
      <c r="F643" s="14">
        <v>3.5</v>
      </c>
      <c r="G643" s="14" t="s">
        <v>252</v>
      </c>
      <c r="H643" s="34"/>
      <c r="I643" s="14" t="s">
        <v>136</v>
      </c>
      <c r="J643" s="14" t="s">
        <v>934</v>
      </c>
      <c r="K643" s="17" t="str">
        <f>IFERROR(__xludf.DUMMYFUNCTION("XLOOKUP(B643,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""-"")"),"vignesh.ec23@bitsathy.ac.in")</f>
        <v>vignesh.ec23@bitsathy.ac.in</v>
      </c>
      <c r="L643" s="21" t="str">
        <f>IFERROR(__xludf.DUMMYFUNCTION("XLOOKUP(B643,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""-"")"),"9360494430")</f>
        <v>9360494430</v>
      </c>
      <c r="M643" s="14" t="s">
        <v>71</v>
      </c>
      <c r="N643" s="14" t="s">
        <v>935</v>
      </c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22"/>
      <c r="AA643" s="22"/>
      <c r="AB643" s="22"/>
      <c r="AC643" s="22"/>
      <c r="AD643" s="22"/>
    </row>
    <row r="644">
      <c r="A644" s="14">
        <v>643.0</v>
      </c>
      <c r="B644" s="58" t="s">
        <v>953</v>
      </c>
      <c r="C644" s="16" t="str">
        <f>IFERROR(__xludf.DUMMYFUNCTION("XLOOKUP(B644,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""-"")"),"VIMAL KUMAR P")</f>
        <v>VIMAL KUMAR P</v>
      </c>
      <c r="D644" s="17" t="str">
        <f>IFERROR(__xludf.DUMMYFUNCTION("XLOOKUP(B644,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4" s="33" t="s">
        <v>171</v>
      </c>
      <c r="F644" s="14">
        <v>3.5</v>
      </c>
      <c r="G644" s="14" t="s">
        <v>252</v>
      </c>
      <c r="H644" s="34"/>
      <c r="I644" s="14" t="s">
        <v>136</v>
      </c>
      <c r="J644" s="14" t="s">
        <v>934</v>
      </c>
      <c r="K644" s="17" t="str">
        <f>IFERROR(__xludf.DUMMYFUNCTION("XLOOKUP(B644,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""-"")"),"vimalkumarp.ec23@bitsathy.ac.in")</f>
        <v>vimalkumarp.ec23@bitsathy.ac.in</v>
      </c>
      <c r="L644" s="21" t="str">
        <f>IFERROR(__xludf.DUMMYFUNCTION("XLOOKUP(B644,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""-"")"),"8754985324")</f>
        <v>8754985324</v>
      </c>
      <c r="M644" s="14" t="s">
        <v>71</v>
      </c>
      <c r="N644" s="14" t="s">
        <v>935</v>
      </c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22"/>
      <c r="AA644" s="22"/>
      <c r="AB644" s="22"/>
      <c r="AC644" s="22"/>
      <c r="AD644" s="22"/>
    </row>
    <row r="645">
      <c r="A645" s="14">
        <v>644.0</v>
      </c>
      <c r="B645" s="58" t="s">
        <v>954</v>
      </c>
      <c r="C645" s="16" t="str">
        <f>IFERROR(__xludf.DUMMYFUNCTION("XLOOKUP(B645,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""-"")"),"VISHRUTHA  G E")</f>
        <v>VISHRUTHA  G E</v>
      </c>
      <c r="D645" s="17" t="str">
        <f>IFERROR(__xludf.DUMMYFUNCTION("XLOOKUP(B645,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5" s="33" t="s">
        <v>171</v>
      </c>
      <c r="F645" s="14">
        <v>3.5</v>
      </c>
      <c r="G645" s="14" t="s">
        <v>252</v>
      </c>
      <c r="H645" s="34"/>
      <c r="I645" s="14" t="s">
        <v>136</v>
      </c>
      <c r="J645" s="14" t="s">
        <v>934</v>
      </c>
      <c r="K645" s="17" t="str">
        <f>IFERROR(__xludf.DUMMYFUNCTION("XLOOKUP(B645,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""-"")"),"vishruthage.ec23@bitsathy.ac.in")</f>
        <v>vishruthage.ec23@bitsathy.ac.in</v>
      </c>
      <c r="L645" s="21" t="str">
        <f>IFERROR(__xludf.DUMMYFUNCTION("XLOOKUP(B645,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""-"")"),"9342008087")</f>
        <v>9342008087</v>
      </c>
      <c r="M645" s="14" t="s">
        <v>71</v>
      </c>
      <c r="N645" s="14" t="s">
        <v>935</v>
      </c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22"/>
      <c r="AA645" s="22"/>
      <c r="AB645" s="22"/>
      <c r="AC645" s="22"/>
      <c r="AD645" s="22"/>
    </row>
    <row r="646">
      <c r="A646" s="14">
        <v>645.0</v>
      </c>
      <c r="B646" s="58" t="s">
        <v>924</v>
      </c>
      <c r="C646" s="16" t="str">
        <f>IFERROR(__xludf.DUMMYFUNCTION("XLOOKUP(B646,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""-"")"),"YASWANTH D")</f>
        <v>YASWANTH D</v>
      </c>
      <c r="D646" s="17" t="str">
        <f>IFERROR(__xludf.DUMMYFUNCTION("XLOOKUP(B646,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46" s="33" t="s">
        <v>171</v>
      </c>
      <c r="F646" s="14">
        <v>3.5</v>
      </c>
      <c r="G646" s="14" t="s">
        <v>252</v>
      </c>
      <c r="H646" s="34"/>
      <c r="I646" s="14" t="s">
        <v>136</v>
      </c>
      <c r="J646" s="14" t="s">
        <v>934</v>
      </c>
      <c r="K646" s="17" t="str">
        <f>IFERROR(__xludf.DUMMYFUNCTION("XLOOKUP(B646,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""-"")"),"yaswanthd.ec23@bitsathy.ac.in")</f>
        <v>yaswanthd.ec23@bitsathy.ac.in</v>
      </c>
      <c r="L646" s="21" t="str">
        <f>IFERROR(__xludf.DUMMYFUNCTION("XLOOKUP(B646,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""-"")"),"9843899909")</f>
        <v>9843899909</v>
      </c>
      <c r="M646" s="14" t="s">
        <v>71</v>
      </c>
      <c r="N646" s="14" t="s">
        <v>935</v>
      </c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22"/>
      <c r="AA646" s="22"/>
      <c r="AB646" s="22"/>
      <c r="AC646" s="22"/>
      <c r="AD646" s="22"/>
    </row>
    <row r="647">
      <c r="A647" s="14">
        <v>646.0</v>
      </c>
      <c r="B647" s="58" t="s">
        <v>955</v>
      </c>
      <c r="C647" s="16" t="str">
        <f>IFERROR(__xludf.DUMMYFUNCTION("XLOOKUP(B647,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""-"")"),"ANUSHRI  M")</f>
        <v>ANUSHRI  M</v>
      </c>
      <c r="D647" s="17" t="str">
        <f>IFERROR(__xludf.DUMMYFUNCTION("XLOOKUP(B647,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47" s="33" t="s">
        <v>171</v>
      </c>
      <c r="F647" s="14">
        <v>3.5</v>
      </c>
      <c r="G647" s="14" t="s">
        <v>252</v>
      </c>
      <c r="H647" s="34"/>
      <c r="I647" s="14" t="s">
        <v>136</v>
      </c>
      <c r="J647" s="14" t="s">
        <v>934</v>
      </c>
      <c r="K647" s="17" t="str">
        <f>IFERROR(__xludf.DUMMYFUNCTION("XLOOKUP(B647,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""-"")"),"anushri.ei23@bitsathy.ac.in")</f>
        <v>anushri.ei23@bitsathy.ac.in</v>
      </c>
      <c r="L647" s="21" t="str">
        <f>IFERROR(__xludf.DUMMYFUNCTION("XLOOKUP(B647,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""-"")"),"6374608272")</f>
        <v>6374608272</v>
      </c>
      <c r="M647" s="14" t="s">
        <v>71</v>
      </c>
      <c r="N647" s="14" t="s">
        <v>935</v>
      </c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22"/>
      <c r="AA647" s="22"/>
      <c r="AB647" s="22"/>
      <c r="AC647" s="22"/>
      <c r="AD647" s="22"/>
    </row>
    <row r="648">
      <c r="A648" s="14">
        <v>647.0</v>
      </c>
      <c r="B648" s="58" t="s">
        <v>956</v>
      </c>
      <c r="C648" s="16" t="str">
        <f>IFERROR(__xludf.DUMMYFUNCTION("XLOOKUP(B648,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""-"")"),"DHARANIYA R")</f>
        <v>DHARANIYA R</v>
      </c>
      <c r="D648" s="17" t="str">
        <f>IFERROR(__xludf.DUMMYFUNCTION("XLOOKUP(B648,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48" s="33" t="s">
        <v>171</v>
      </c>
      <c r="F648" s="14">
        <v>3.5</v>
      </c>
      <c r="G648" s="14" t="s">
        <v>252</v>
      </c>
      <c r="H648" s="34"/>
      <c r="I648" s="14" t="s">
        <v>136</v>
      </c>
      <c r="J648" s="14" t="s">
        <v>934</v>
      </c>
      <c r="K648" s="17" t="str">
        <f>IFERROR(__xludf.DUMMYFUNCTION("XLOOKUP(B648,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""-"")"),"dharaniya.ei23@bitsathy.ac.in")</f>
        <v>dharaniya.ei23@bitsathy.ac.in</v>
      </c>
      <c r="L648" s="21" t="str">
        <f>IFERROR(__xludf.DUMMYFUNCTION("XLOOKUP(B648,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""-"")"),"6369316982")</f>
        <v>6369316982</v>
      </c>
      <c r="M648" s="14" t="s">
        <v>71</v>
      </c>
      <c r="N648" s="14" t="s">
        <v>935</v>
      </c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22"/>
      <c r="AA648" s="22"/>
      <c r="AB648" s="22"/>
      <c r="AC648" s="22"/>
      <c r="AD648" s="22"/>
    </row>
    <row r="649">
      <c r="A649" s="14">
        <v>648.0</v>
      </c>
      <c r="B649" s="58" t="s">
        <v>957</v>
      </c>
      <c r="C649" s="16" t="str">
        <f>IFERROR(__xludf.DUMMYFUNCTION("XLOOKUP(B649,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""-"")"),"DHARSHINI R")</f>
        <v>DHARSHINI R</v>
      </c>
      <c r="D649" s="17" t="str">
        <f>IFERROR(__xludf.DUMMYFUNCTION("XLOOKUP(B649,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49" s="33" t="s">
        <v>171</v>
      </c>
      <c r="F649" s="14">
        <v>3.5</v>
      </c>
      <c r="G649" s="14" t="s">
        <v>252</v>
      </c>
      <c r="H649" s="34"/>
      <c r="I649" s="14" t="s">
        <v>136</v>
      </c>
      <c r="J649" s="14" t="s">
        <v>934</v>
      </c>
      <c r="K649" s="17" t="str">
        <f>IFERROR(__xludf.DUMMYFUNCTION("XLOOKUP(B649,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""-"")"),"dharshini.ei23@bitsathy.ac.in")</f>
        <v>dharshini.ei23@bitsathy.ac.in</v>
      </c>
      <c r="L649" s="21" t="str">
        <f>IFERROR(__xludf.DUMMYFUNCTION("XLOOKUP(B649,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""-"")"),"6369095535")</f>
        <v>6369095535</v>
      </c>
      <c r="M649" s="14" t="s">
        <v>71</v>
      </c>
      <c r="N649" s="14" t="s">
        <v>935</v>
      </c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22"/>
      <c r="AA649" s="22"/>
      <c r="AB649" s="22"/>
      <c r="AC649" s="22"/>
      <c r="AD649" s="22"/>
    </row>
    <row r="650">
      <c r="A650" s="14">
        <v>649.0</v>
      </c>
      <c r="B650" s="58" t="s">
        <v>958</v>
      </c>
      <c r="C650" s="16" t="str">
        <f>IFERROR(__xludf.DUMMYFUNCTION("XLOOKUP(B650,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""-"")"),"JANUS JENIN A")</f>
        <v>JANUS JENIN A</v>
      </c>
      <c r="D650" s="17" t="str">
        <f>IFERROR(__xludf.DUMMYFUNCTION("XLOOKUP(B650,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50" s="33" t="s">
        <v>171</v>
      </c>
      <c r="F650" s="14">
        <v>3.5</v>
      </c>
      <c r="G650" s="14" t="s">
        <v>252</v>
      </c>
      <c r="H650" s="34"/>
      <c r="I650" s="14" t="s">
        <v>136</v>
      </c>
      <c r="J650" s="14" t="s">
        <v>934</v>
      </c>
      <c r="K650" s="17" t="str">
        <f>IFERROR(__xludf.DUMMYFUNCTION("XLOOKUP(B650,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""-"")"),"janusjenin.ei23@bitsathy.ac.in")</f>
        <v>janusjenin.ei23@bitsathy.ac.in</v>
      </c>
      <c r="L650" s="21" t="str">
        <f>IFERROR(__xludf.DUMMYFUNCTION("XLOOKUP(B650,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""-"")"),"9345436558")</f>
        <v>9345436558</v>
      </c>
      <c r="M650" s="14" t="s">
        <v>71</v>
      </c>
      <c r="N650" s="14" t="s">
        <v>935</v>
      </c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22"/>
      <c r="AA650" s="22"/>
      <c r="AB650" s="22"/>
      <c r="AC650" s="22"/>
      <c r="AD650" s="22"/>
    </row>
    <row r="651">
      <c r="A651" s="14">
        <v>650.0</v>
      </c>
      <c r="B651" s="58" t="s">
        <v>959</v>
      </c>
      <c r="C651" s="16" t="str">
        <f>IFERROR(__xludf.DUMMYFUNCTION("XLOOKUP(B651,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""-"")"),"VISHALI V")</f>
        <v>VISHALI V</v>
      </c>
      <c r="D651" s="17" t="str">
        <f>IFERROR(__xludf.DUMMYFUNCTION("XLOOKUP(B651,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51" s="33" t="s">
        <v>171</v>
      </c>
      <c r="F651" s="14">
        <v>3.5</v>
      </c>
      <c r="G651" s="14" t="s">
        <v>252</v>
      </c>
      <c r="H651" s="34"/>
      <c r="I651" s="14" t="s">
        <v>136</v>
      </c>
      <c r="J651" s="14" t="s">
        <v>934</v>
      </c>
      <c r="K651" s="17" t="str">
        <f>IFERROR(__xludf.DUMMYFUNCTION("XLOOKUP(B651,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""-"")"),"vishali.ei23@bitsathy.ac.in")</f>
        <v>vishali.ei23@bitsathy.ac.in</v>
      </c>
      <c r="L651" s="21" t="str">
        <f>IFERROR(__xludf.DUMMYFUNCTION("XLOOKUP(B651,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""-"")"),"9342149340")</f>
        <v>9342149340</v>
      </c>
      <c r="M651" s="14" t="s">
        <v>71</v>
      </c>
      <c r="N651" s="14" t="s">
        <v>935</v>
      </c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22"/>
      <c r="AA651" s="22"/>
      <c r="AB651" s="22"/>
      <c r="AC651" s="22"/>
      <c r="AD651" s="22"/>
    </row>
    <row r="652">
      <c r="A652" s="14">
        <v>651.0</v>
      </c>
      <c r="B652" s="58" t="s">
        <v>960</v>
      </c>
      <c r="C652" s="16" t="str">
        <f>IFERROR(__xludf.DUMMYFUNCTION("XLOOKUP(B652,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""-"")"),"ASHWIN R")</f>
        <v>ASHWIN R</v>
      </c>
      <c r="D652" s="17" t="str">
        <f>IFERROR(__xludf.DUMMYFUNCTION("XLOOKUP(B652,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652" s="33" t="s">
        <v>171</v>
      </c>
      <c r="F652" s="14">
        <v>3.5</v>
      </c>
      <c r="G652" s="14" t="s">
        <v>252</v>
      </c>
      <c r="H652" s="34"/>
      <c r="I652" s="14" t="s">
        <v>136</v>
      </c>
      <c r="J652" s="14" t="s">
        <v>934</v>
      </c>
      <c r="K652" s="17" t="str">
        <f>IFERROR(__xludf.DUMMYFUNCTION("XLOOKUP(B652,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""-"")"),"ashwin.me23@bitsathy.ac.in")</f>
        <v>ashwin.me23@bitsathy.ac.in</v>
      </c>
      <c r="L652" s="21" t="str">
        <f>IFERROR(__xludf.DUMMYFUNCTION("XLOOKUP(B652,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""-"")"),"8610354398")</f>
        <v>8610354398</v>
      </c>
      <c r="M652" s="14" t="s">
        <v>71</v>
      </c>
      <c r="N652" s="14" t="s">
        <v>935</v>
      </c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22"/>
      <c r="AA652" s="22"/>
      <c r="AB652" s="22"/>
      <c r="AC652" s="22"/>
      <c r="AD652" s="22"/>
    </row>
    <row r="653">
      <c r="A653" s="14">
        <v>652.0</v>
      </c>
      <c r="B653" s="58" t="s">
        <v>396</v>
      </c>
      <c r="C653" s="16" t="str">
        <f>IFERROR(__xludf.DUMMYFUNCTION("XLOOKUP(B653,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""-"")"),"BALAMURUGAN  G")</f>
        <v>BALAMURUGAN  G</v>
      </c>
      <c r="D653" s="17" t="str">
        <f>IFERROR(__xludf.DUMMYFUNCTION("XLOOKUP(B653,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653" s="33" t="s">
        <v>171</v>
      </c>
      <c r="F653" s="14">
        <v>3.5</v>
      </c>
      <c r="G653" s="14" t="s">
        <v>252</v>
      </c>
      <c r="H653" s="34"/>
      <c r="I653" s="14" t="s">
        <v>136</v>
      </c>
      <c r="J653" s="14" t="s">
        <v>934</v>
      </c>
      <c r="K653" s="17" t="str">
        <f>IFERROR(__xludf.DUMMYFUNCTION("XLOOKUP(B653,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""-"")"),"balamurugang.mz23@bitsathy.ac.in")</f>
        <v>balamurugang.mz23@bitsathy.ac.in</v>
      </c>
      <c r="L653" s="21" t="str">
        <f>IFERROR(__xludf.DUMMYFUNCTION("XLOOKUP(B653,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""-"")"),"9597984488")</f>
        <v>9597984488</v>
      </c>
      <c r="M653" s="14" t="s">
        <v>71</v>
      </c>
      <c r="N653" s="14" t="s">
        <v>935</v>
      </c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22"/>
      <c r="AA653" s="22"/>
      <c r="AB653" s="22"/>
      <c r="AC653" s="22"/>
      <c r="AD653" s="22"/>
    </row>
    <row r="654">
      <c r="A654" s="14">
        <v>653.0</v>
      </c>
      <c r="B654" s="58" t="s">
        <v>386</v>
      </c>
      <c r="C654" s="16" t="str">
        <f>IFERROR(__xludf.DUMMYFUNCTION("XLOOKUP(B654,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""-"")"),"DHARUN S")</f>
        <v>DHARUN S</v>
      </c>
      <c r="D654" s="17" t="str">
        <f>IFERROR(__xludf.DUMMYFUNCTION("XLOOKUP(B654,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654" s="33" t="s">
        <v>171</v>
      </c>
      <c r="F654" s="14">
        <v>3.5</v>
      </c>
      <c r="G654" s="14" t="s">
        <v>252</v>
      </c>
      <c r="H654" s="34"/>
      <c r="I654" s="14" t="s">
        <v>136</v>
      </c>
      <c r="J654" s="14" t="s">
        <v>934</v>
      </c>
      <c r="K654" s="17" t="str">
        <f>IFERROR(__xludf.DUMMYFUNCTION("XLOOKUP(B654,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""-"")"),"dharuns.mz23@bitsathy.ac.in")</f>
        <v>dharuns.mz23@bitsathy.ac.in</v>
      </c>
      <c r="L654" s="21" t="str">
        <f>IFERROR(__xludf.DUMMYFUNCTION("XLOOKUP(B654,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""-"")"),"9361871637")</f>
        <v>9361871637</v>
      </c>
      <c r="M654" s="14" t="s">
        <v>71</v>
      </c>
      <c r="N654" s="14" t="s">
        <v>935</v>
      </c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22"/>
      <c r="AA654" s="22"/>
      <c r="AB654" s="22"/>
      <c r="AC654" s="22"/>
      <c r="AD654" s="22"/>
    </row>
    <row r="655">
      <c r="A655" s="14">
        <v>654.0</v>
      </c>
      <c r="B655" s="58" t="s">
        <v>961</v>
      </c>
      <c r="C655" s="16" t="str">
        <f>IFERROR(__xludf.DUMMYFUNCTION("XLOOKUP(B655,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""-"")"),"SACHIN BALAJI S R")</f>
        <v>SACHIN BALAJI S R</v>
      </c>
      <c r="D655" s="17" t="str">
        <f>IFERROR(__xludf.DUMMYFUNCTION("XLOOKUP(B655,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655" s="33" t="s">
        <v>171</v>
      </c>
      <c r="F655" s="14">
        <v>3.5</v>
      </c>
      <c r="G655" s="14" t="s">
        <v>252</v>
      </c>
      <c r="H655" s="34"/>
      <c r="I655" s="14" t="s">
        <v>136</v>
      </c>
      <c r="J655" s="14" t="s">
        <v>934</v>
      </c>
      <c r="K655" s="17" t="str">
        <f>IFERROR(__xludf.DUMMYFUNCTION("XLOOKUP(B655,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""-"")"),"sachinbalaji.mz23@bitsathy.ac.in")</f>
        <v>sachinbalaji.mz23@bitsathy.ac.in</v>
      </c>
      <c r="L655" s="21" t="str">
        <f>IFERROR(__xludf.DUMMYFUNCTION("XLOOKUP(B655,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""-"")"),"6379937875")</f>
        <v>6379937875</v>
      </c>
      <c r="M655" s="14" t="s">
        <v>71</v>
      </c>
      <c r="N655" s="14" t="s">
        <v>935</v>
      </c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22"/>
      <c r="AA655" s="22"/>
      <c r="AB655" s="22"/>
      <c r="AC655" s="22"/>
      <c r="AD655" s="22"/>
    </row>
    <row r="656">
      <c r="A656" s="14">
        <v>655.0</v>
      </c>
      <c r="B656" s="58" t="s">
        <v>962</v>
      </c>
      <c r="C656" s="16" t="str">
        <f>IFERROR(__xludf.DUMMYFUNCTION("XLOOKUP(B656,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 A S")</f>
        <v>KAVIN A S</v>
      </c>
      <c r="D656" s="17" t="str">
        <f>IFERROR(__xludf.DUMMYFUNCTION("XLOOKUP(B656,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56" s="33" t="s">
        <v>171</v>
      </c>
      <c r="F656" s="14">
        <v>3.5</v>
      </c>
      <c r="G656" s="14" t="s">
        <v>252</v>
      </c>
      <c r="H656" s="34"/>
      <c r="I656" s="14" t="s">
        <v>136</v>
      </c>
      <c r="J656" s="14" t="s">
        <v>934</v>
      </c>
      <c r="K656" s="17" t="str">
        <f>IFERROR(__xludf.DUMMYFUNCTION("XLOOKUP(B656,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""-"")"),"kavin.ei23@bitsathy.ac.in")</f>
        <v>kavin.ei23@bitsathy.ac.in</v>
      </c>
      <c r="L656" s="21" t="str">
        <f>IFERROR(__xludf.DUMMYFUNCTION("XLOOKUP(B656,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""-"")"),"9952415600")</f>
        <v>9952415600</v>
      </c>
      <c r="M656" s="14" t="s">
        <v>71</v>
      </c>
      <c r="N656" s="14" t="s">
        <v>935</v>
      </c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22"/>
      <c r="AA656" s="22"/>
      <c r="AB656" s="22"/>
      <c r="AC656" s="22"/>
      <c r="AD656" s="22"/>
    </row>
    <row r="657">
      <c r="A657" s="14">
        <v>656.0</v>
      </c>
      <c r="B657" s="58" t="s">
        <v>963</v>
      </c>
      <c r="C657" s="16" t="str">
        <f>IFERROR(__xludf.DUMMYFUNCTION("XLOOKUP(B657,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""-"")"),"CHARUMATHI S")</f>
        <v>CHARUMATHI S</v>
      </c>
      <c r="D657" s="17" t="str">
        <f>IFERROR(__xludf.DUMMYFUNCTION("XLOOKUP(B657,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57" s="14" t="s">
        <v>129</v>
      </c>
      <c r="F657" s="14">
        <v>4.5</v>
      </c>
      <c r="G657" s="14" t="s">
        <v>252</v>
      </c>
      <c r="H657" s="34"/>
      <c r="I657" s="14" t="s">
        <v>432</v>
      </c>
      <c r="J657" s="14" t="s">
        <v>886</v>
      </c>
      <c r="K657" s="17" t="str">
        <f>IFERROR(__xludf.DUMMYFUNCTION("XLOOKUP(B657,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""-"")"),"charumathi.ad23@bitsathy.ac.in")</f>
        <v>charumathi.ad23@bitsathy.ac.in</v>
      </c>
      <c r="L657" s="21" t="str">
        <f>IFERROR(__xludf.DUMMYFUNCTION("XLOOKUP(B657,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""-"")"),"7010391311")</f>
        <v>7010391311</v>
      </c>
      <c r="M657" s="14" t="s">
        <v>71</v>
      </c>
      <c r="N657" s="14" t="s">
        <v>935</v>
      </c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22"/>
      <c r="AA657" s="22"/>
      <c r="AB657" s="22"/>
      <c r="AC657" s="22"/>
      <c r="AD657" s="22"/>
    </row>
    <row r="658">
      <c r="A658" s="14">
        <v>657.0</v>
      </c>
      <c r="B658" s="32" t="s">
        <v>964</v>
      </c>
      <c r="C658" s="16" t="str">
        <f>IFERROR(__xludf.DUMMYFUNCTION("XLOOKUP(B658,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""-"")"),"KARTHIKEYAN R")</f>
        <v>KARTHIKEYAN R</v>
      </c>
      <c r="D658" s="17" t="str">
        <f>IFERROR(__xludf.DUMMYFUNCTION("XLOOKUP(B658,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58" s="14" t="s">
        <v>129</v>
      </c>
      <c r="F658" s="14">
        <v>4.5</v>
      </c>
      <c r="G658" s="14" t="s">
        <v>252</v>
      </c>
      <c r="H658" s="34"/>
      <c r="I658" s="14" t="s">
        <v>432</v>
      </c>
      <c r="J658" s="14" t="s">
        <v>886</v>
      </c>
      <c r="K658" s="17" t="str">
        <f>IFERROR(__xludf.DUMMYFUNCTION("XLOOKUP(B658,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""-"")"),"karthikeyan.ad23@bitsathy.ac.in")</f>
        <v>karthikeyan.ad23@bitsathy.ac.in</v>
      </c>
      <c r="L658" s="21" t="str">
        <f>IFERROR(__xludf.DUMMYFUNCTION("XLOOKUP(B658,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""-"")"),"8072174309")</f>
        <v>8072174309</v>
      </c>
      <c r="M658" s="14" t="s">
        <v>71</v>
      </c>
      <c r="N658" s="14" t="s">
        <v>935</v>
      </c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22"/>
      <c r="AA658" s="22"/>
      <c r="AB658" s="22"/>
      <c r="AC658" s="22"/>
      <c r="AD658" s="22"/>
    </row>
    <row r="659">
      <c r="A659" s="14">
        <v>658.0</v>
      </c>
      <c r="B659" s="32" t="s">
        <v>965</v>
      </c>
      <c r="C659" s="16" t="str">
        <f>IFERROR(__xludf.DUMMYFUNCTION("XLOOKUP(B659,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""-"")"),"SABARISH V")</f>
        <v>SABARISH V</v>
      </c>
      <c r="D659" s="17" t="str">
        <f>IFERROR(__xludf.DUMMYFUNCTION("XLOOKUP(B659,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59" s="14" t="s">
        <v>129</v>
      </c>
      <c r="F659" s="14">
        <v>4.5</v>
      </c>
      <c r="G659" s="14" t="s">
        <v>252</v>
      </c>
      <c r="H659" s="34"/>
      <c r="I659" s="14" t="s">
        <v>432</v>
      </c>
      <c r="J659" s="14" t="s">
        <v>886</v>
      </c>
      <c r="K659" s="17" t="str">
        <f>IFERROR(__xludf.DUMMYFUNCTION("XLOOKUP(B659,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""-"")"),"sabarish.ad23@bitsathy.ac.in")</f>
        <v>sabarish.ad23@bitsathy.ac.in</v>
      </c>
      <c r="L659" s="21" t="str">
        <f>IFERROR(__xludf.DUMMYFUNCTION("XLOOKUP(B659,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""-"")"),"8524988294")</f>
        <v>8524988294</v>
      </c>
      <c r="M659" s="14" t="s">
        <v>71</v>
      </c>
      <c r="N659" s="14" t="s">
        <v>935</v>
      </c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22"/>
      <c r="AA659" s="22"/>
      <c r="AB659" s="22"/>
      <c r="AC659" s="22"/>
      <c r="AD659" s="22"/>
    </row>
    <row r="660">
      <c r="A660" s="14">
        <v>659.0</v>
      </c>
      <c r="B660" s="32" t="s">
        <v>966</v>
      </c>
      <c r="C660" s="16" t="str">
        <f>IFERROR(__xludf.DUMMYFUNCTION("XLOOKUP(B660,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""-"")"),"SANTHIYA S")</f>
        <v>SANTHIYA S</v>
      </c>
      <c r="D660" s="17" t="str">
        <f>IFERROR(__xludf.DUMMYFUNCTION("XLOOKUP(B660,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60" s="14" t="s">
        <v>129</v>
      </c>
      <c r="F660" s="14">
        <v>4.5</v>
      </c>
      <c r="G660" s="14" t="s">
        <v>252</v>
      </c>
      <c r="H660" s="34"/>
      <c r="I660" s="14" t="s">
        <v>432</v>
      </c>
      <c r="J660" s="14" t="s">
        <v>886</v>
      </c>
      <c r="K660" s="17" t="str">
        <f>IFERROR(__xludf.DUMMYFUNCTION("XLOOKUP(B660,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""-"")"),"santhiya.ad23@bitsathy.ac.in")</f>
        <v>santhiya.ad23@bitsathy.ac.in</v>
      </c>
      <c r="L660" s="21" t="str">
        <f>IFERROR(__xludf.DUMMYFUNCTION("XLOOKUP(B660,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""-"")"),"9344813009")</f>
        <v>9344813009</v>
      </c>
      <c r="M660" s="14" t="s">
        <v>71</v>
      </c>
      <c r="N660" s="14" t="s">
        <v>935</v>
      </c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22"/>
      <c r="AA660" s="22"/>
      <c r="AB660" s="22"/>
      <c r="AC660" s="22"/>
      <c r="AD660" s="22"/>
    </row>
    <row r="661">
      <c r="A661" s="14">
        <v>660.0</v>
      </c>
      <c r="B661" s="32" t="s">
        <v>967</v>
      </c>
      <c r="C661" s="16" t="str">
        <f>IFERROR(__xludf.DUMMYFUNCTION("XLOOKUP(B661,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""-"")"),"SASTHIKA D")</f>
        <v>SASTHIKA D</v>
      </c>
      <c r="D661" s="17" t="str">
        <f>IFERROR(__xludf.DUMMYFUNCTION("XLOOKUP(B661,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61" s="14" t="s">
        <v>129</v>
      </c>
      <c r="F661" s="14">
        <v>4.5</v>
      </c>
      <c r="G661" s="14" t="s">
        <v>252</v>
      </c>
      <c r="H661" s="34"/>
      <c r="I661" s="14" t="s">
        <v>432</v>
      </c>
      <c r="J661" s="14" t="s">
        <v>886</v>
      </c>
      <c r="K661" s="17" t="str">
        <f>IFERROR(__xludf.DUMMYFUNCTION("XLOOKUP(B661,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""-"")"),"sasthika.ad23@bitsathy.ac.in")</f>
        <v>sasthika.ad23@bitsathy.ac.in</v>
      </c>
      <c r="L661" s="21" t="str">
        <f>IFERROR(__xludf.DUMMYFUNCTION("XLOOKUP(B661,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""-"")"),"9159162687")</f>
        <v>9159162687</v>
      </c>
      <c r="M661" s="14" t="s">
        <v>71</v>
      </c>
      <c r="N661" s="14" t="s">
        <v>935</v>
      </c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22"/>
      <c r="AA661" s="22"/>
      <c r="AB661" s="22"/>
      <c r="AC661" s="22"/>
      <c r="AD661" s="22"/>
    </row>
    <row r="662">
      <c r="A662" s="14">
        <v>661.0</v>
      </c>
      <c r="B662" s="32" t="s">
        <v>968</v>
      </c>
      <c r="C662" s="16" t="str">
        <f>IFERROR(__xludf.DUMMYFUNCTION("XLOOKUP(B662,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""-"")"),"YOKESHWARI M")</f>
        <v>YOKESHWARI M</v>
      </c>
      <c r="D662" s="17" t="str">
        <f>IFERROR(__xludf.DUMMYFUNCTION("XLOOKUP(B662,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DATA SCIENCE")</f>
        <v>ARTIFICIAL INTELLIGENCE AND DATA SCIENCE</v>
      </c>
      <c r="E662" s="14" t="s">
        <v>129</v>
      </c>
      <c r="F662" s="14">
        <v>4.5</v>
      </c>
      <c r="G662" s="14" t="s">
        <v>252</v>
      </c>
      <c r="H662" s="34"/>
      <c r="I662" s="14" t="s">
        <v>432</v>
      </c>
      <c r="J662" s="14" t="s">
        <v>886</v>
      </c>
      <c r="K662" s="17" t="str">
        <f>IFERROR(__xludf.DUMMYFUNCTION("XLOOKUP(B662,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""-"")"),"yokeshwari.ad23@bitsathy.ac.in")</f>
        <v>yokeshwari.ad23@bitsathy.ac.in</v>
      </c>
      <c r="L662" s="21" t="str">
        <f>IFERROR(__xludf.DUMMYFUNCTION("XLOOKUP(B662,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""-"")"),"9361493981")</f>
        <v>9361493981</v>
      </c>
      <c r="M662" s="14" t="s">
        <v>71</v>
      </c>
      <c r="N662" s="14" t="s">
        <v>935</v>
      </c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22"/>
      <c r="AA662" s="22"/>
      <c r="AB662" s="22"/>
      <c r="AC662" s="22"/>
      <c r="AD662" s="22"/>
    </row>
    <row r="663">
      <c r="A663" s="14">
        <v>662.0</v>
      </c>
      <c r="B663" s="32" t="s">
        <v>969</v>
      </c>
      <c r="C663" s="16" t="str">
        <f>IFERROR(__xludf.DUMMYFUNCTION("XLOOKUP(B663,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""-"")"),"GOKULPRASATH S G")</f>
        <v>GOKULPRASATH S G</v>
      </c>
      <c r="D663" s="17" t="str">
        <f>IFERROR(__xludf.DUMMYFUNCTION("XLOOKUP(B663,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663" s="14" t="s">
        <v>129</v>
      </c>
      <c r="F663" s="14">
        <v>4.5</v>
      </c>
      <c r="G663" s="14" t="s">
        <v>252</v>
      </c>
      <c r="H663" s="34"/>
      <c r="I663" s="14" t="s">
        <v>432</v>
      </c>
      <c r="J663" s="14" t="s">
        <v>886</v>
      </c>
      <c r="K663" s="17" t="str">
        <f>IFERROR(__xludf.DUMMYFUNCTION("XLOOKUP(B663,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""-"")"),"gokulprasath.al23@bitsathy.ac.in")</f>
        <v>gokulprasath.al23@bitsathy.ac.in</v>
      </c>
      <c r="L663" s="21" t="str">
        <f>IFERROR(__xludf.DUMMYFUNCTION("XLOOKUP(B663,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""-"")"),"9345126499")</f>
        <v>9345126499</v>
      </c>
      <c r="M663" s="14" t="s">
        <v>71</v>
      </c>
      <c r="N663" s="14" t="s">
        <v>935</v>
      </c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22"/>
      <c r="AA663" s="22"/>
      <c r="AB663" s="22"/>
      <c r="AC663" s="22"/>
      <c r="AD663" s="22"/>
    </row>
    <row r="664">
      <c r="A664" s="14">
        <v>663.0</v>
      </c>
      <c r="B664" s="32" t="s">
        <v>970</v>
      </c>
      <c r="C664" s="16" t="str">
        <f>IFERROR(__xludf.DUMMYFUNCTION("XLOOKUP(B664,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""-"")"),"VARNA S")</f>
        <v>VARNA S</v>
      </c>
      <c r="D664" s="17" t="str">
        <f>IFERROR(__xludf.DUMMYFUNCTION("XLOOKUP(B664,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664" s="14" t="s">
        <v>129</v>
      </c>
      <c r="F664" s="14">
        <v>4.5</v>
      </c>
      <c r="G664" s="14" t="s">
        <v>252</v>
      </c>
      <c r="H664" s="34"/>
      <c r="I664" s="14" t="s">
        <v>432</v>
      </c>
      <c r="J664" s="14" t="s">
        <v>886</v>
      </c>
      <c r="K664" s="17" t="str">
        <f>IFERROR(__xludf.DUMMYFUNCTION("XLOOKUP(B664,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""-"")"),"varna.al23@bitsathy.ac.in")</f>
        <v>varna.al23@bitsathy.ac.in</v>
      </c>
      <c r="L664" s="21" t="str">
        <f>IFERROR(__xludf.DUMMYFUNCTION("XLOOKUP(B664,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""-"")"),"9566926445")</f>
        <v>9566926445</v>
      </c>
      <c r="M664" s="14" t="s">
        <v>71</v>
      </c>
      <c r="N664" s="14" t="s">
        <v>935</v>
      </c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22"/>
      <c r="AA664" s="22"/>
      <c r="AB664" s="22"/>
      <c r="AC664" s="22"/>
      <c r="AD664" s="22"/>
    </row>
    <row r="665">
      <c r="A665" s="14">
        <v>664.0</v>
      </c>
      <c r="B665" s="32" t="s">
        <v>971</v>
      </c>
      <c r="C665" s="16" t="str">
        <f>IFERROR(__xludf.DUMMYFUNCTION("XLOOKUP(B665,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""-"")"),"VARSHINI  M")</f>
        <v>VARSHINI  M</v>
      </c>
      <c r="D665" s="17" t="str">
        <f>IFERROR(__xludf.DUMMYFUNCTION("XLOOKUP(B665,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""-"")"),"ARTIFICIAL INTELLIGENCE AND MACHINE LEARNING")</f>
        <v>ARTIFICIAL INTELLIGENCE AND MACHINE LEARNING</v>
      </c>
      <c r="E665" s="14" t="s">
        <v>129</v>
      </c>
      <c r="F665" s="14">
        <v>4.5</v>
      </c>
      <c r="G665" s="14" t="s">
        <v>252</v>
      </c>
      <c r="H665" s="34"/>
      <c r="I665" s="14" t="s">
        <v>432</v>
      </c>
      <c r="J665" s="14" t="s">
        <v>886</v>
      </c>
      <c r="K665" s="17" t="str">
        <f>IFERROR(__xludf.DUMMYFUNCTION("XLOOKUP(B665,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""-"")"),"varshini.al23@bitsathy.ac.in")</f>
        <v>varshini.al23@bitsathy.ac.in</v>
      </c>
      <c r="L665" s="21" t="str">
        <f>IFERROR(__xludf.DUMMYFUNCTION("XLOOKUP(B665,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""-"")"),"6379106242")</f>
        <v>6379106242</v>
      </c>
      <c r="M665" s="14" t="s">
        <v>71</v>
      </c>
      <c r="N665" s="14" t="s">
        <v>935</v>
      </c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22"/>
      <c r="AA665" s="22"/>
      <c r="AB665" s="22"/>
      <c r="AC665" s="22"/>
      <c r="AD665" s="22"/>
    </row>
    <row r="666">
      <c r="A666" s="14">
        <v>665.0</v>
      </c>
      <c r="B666" s="32" t="s">
        <v>972</v>
      </c>
      <c r="C666" s="16" t="str">
        <f>IFERROR(__xludf.DUMMYFUNCTION("XLOOKUP(B666,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""-"")"),"MANMATHAN  S")</f>
        <v>MANMATHAN  S</v>
      </c>
      <c r="D666" s="17" t="str">
        <f>IFERROR(__xludf.DUMMYFUNCTION("XLOOKUP(B666,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666" s="14" t="s">
        <v>129</v>
      </c>
      <c r="F666" s="14">
        <v>4.5</v>
      </c>
      <c r="G666" s="14" t="s">
        <v>252</v>
      </c>
      <c r="H666" s="34"/>
      <c r="I666" s="14" t="s">
        <v>432</v>
      </c>
      <c r="J666" s="14" t="s">
        <v>886</v>
      </c>
      <c r="K666" s="17" t="str">
        <f>IFERROR(__xludf.DUMMYFUNCTION("XLOOKUP(B666,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""-"")"),"manmathan.cb23@bitsathy.ac.in")</f>
        <v>manmathan.cb23@bitsathy.ac.in</v>
      </c>
      <c r="L666" s="21" t="str">
        <f>IFERROR(__xludf.DUMMYFUNCTION("XLOOKUP(B666,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""-"")"),"9363212045")</f>
        <v>9363212045</v>
      </c>
      <c r="M666" s="14" t="s">
        <v>71</v>
      </c>
      <c r="N666" s="14" t="s">
        <v>935</v>
      </c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22"/>
      <c r="AA666" s="22"/>
      <c r="AB666" s="22"/>
      <c r="AC666" s="22"/>
      <c r="AD666" s="22"/>
    </row>
    <row r="667">
      <c r="A667" s="14">
        <v>666.0</v>
      </c>
      <c r="B667" s="32" t="s">
        <v>973</v>
      </c>
      <c r="C667" s="16" t="str">
        <f>IFERROR(__xludf.DUMMYFUNCTION("XLOOKUP(B667,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""-"")"),"SUGANTH C L")</f>
        <v>SUGANTH C L</v>
      </c>
      <c r="D667" s="17" t="str">
        <f>IFERROR(__xludf.DUMMYFUNCTION("XLOOKUP(B667,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BUSINESS SYSTEMS")</f>
        <v>COMPUTER SCIENCE AND BUSINESS SYSTEMS</v>
      </c>
      <c r="E667" s="14" t="s">
        <v>129</v>
      </c>
      <c r="F667" s="14">
        <v>4.5</v>
      </c>
      <c r="G667" s="14" t="s">
        <v>252</v>
      </c>
      <c r="H667" s="34"/>
      <c r="I667" s="14" t="s">
        <v>432</v>
      </c>
      <c r="J667" s="14" t="s">
        <v>886</v>
      </c>
      <c r="K667" s="17" t="str">
        <f>IFERROR(__xludf.DUMMYFUNCTION("XLOOKUP(B667,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""-"")"),"suganth.cb23@bitsathy.ac.in")</f>
        <v>suganth.cb23@bitsathy.ac.in</v>
      </c>
      <c r="L667" s="21" t="str">
        <f>IFERROR(__xludf.DUMMYFUNCTION("XLOOKUP(B667,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""-"")"),"9342416679")</f>
        <v>9342416679</v>
      </c>
      <c r="M667" s="14" t="s">
        <v>71</v>
      </c>
      <c r="N667" s="14" t="s">
        <v>935</v>
      </c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22"/>
      <c r="AA667" s="22"/>
      <c r="AB667" s="22"/>
      <c r="AC667" s="22"/>
      <c r="AD667" s="22"/>
    </row>
    <row r="668">
      <c r="A668" s="14">
        <v>667.0</v>
      </c>
      <c r="B668" s="32" t="s">
        <v>974</v>
      </c>
      <c r="C668" s="16" t="str">
        <f>IFERROR(__xludf.DUMMYFUNCTION("XLOOKUP(B668,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""-"")"),"ASMITHA B")</f>
        <v>ASMITHA B</v>
      </c>
      <c r="D668" s="17" t="str">
        <f>IFERROR(__xludf.DUMMYFUNCTION("XLOOKUP(B668,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668" s="14" t="s">
        <v>129</v>
      </c>
      <c r="F668" s="14">
        <v>4.5</v>
      </c>
      <c r="G668" s="14" t="s">
        <v>252</v>
      </c>
      <c r="H668" s="34"/>
      <c r="I668" s="14" t="s">
        <v>432</v>
      </c>
      <c r="J668" s="14" t="s">
        <v>886</v>
      </c>
      <c r="K668" s="17" t="str">
        <f>IFERROR(__xludf.DUMMYFUNCTION("XLOOKUP(B668,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""-"")"),"asmithab.cd23@bitsathy.ac.in")</f>
        <v>asmithab.cd23@bitsathy.ac.in</v>
      </c>
      <c r="L668" s="21" t="str">
        <f>IFERROR(__xludf.DUMMYFUNCTION("XLOOKUP(B668,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""-"")"),"8778918780")</f>
        <v>8778918780</v>
      </c>
      <c r="M668" s="14" t="s">
        <v>71</v>
      </c>
      <c r="N668" s="14" t="s">
        <v>935</v>
      </c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22"/>
      <c r="AA668" s="22"/>
      <c r="AB668" s="22"/>
      <c r="AC668" s="22"/>
      <c r="AD668" s="22"/>
    </row>
    <row r="669">
      <c r="A669" s="14">
        <v>668.0</v>
      </c>
      <c r="B669" s="32" t="s">
        <v>975</v>
      </c>
      <c r="C669" s="16" t="str">
        <f>IFERROR(__xludf.DUMMYFUNCTION("XLOOKUP(B669,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""-"")"),"KABILAN D")</f>
        <v>KABILAN D</v>
      </c>
      <c r="D669" s="17" t="str">
        <f>IFERROR(__xludf.DUMMYFUNCTION("XLOOKUP(B669,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669" s="14" t="s">
        <v>129</v>
      </c>
      <c r="F669" s="14">
        <v>4.5</v>
      </c>
      <c r="G669" s="14" t="s">
        <v>252</v>
      </c>
      <c r="H669" s="34"/>
      <c r="I669" s="14" t="s">
        <v>432</v>
      </c>
      <c r="J669" s="14" t="s">
        <v>886</v>
      </c>
      <c r="K669" s="17" t="str">
        <f>IFERROR(__xludf.DUMMYFUNCTION("XLOOKUP(B669,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""-"")"),"kabiland.cd23@bitsathy.ac.in")</f>
        <v>kabiland.cd23@bitsathy.ac.in</v>
      </c>
      <c r="L669" s="21" t="str">
        <f>IFERROR(__xludf.DUMMYFUNCTION("XLOOKUP(B669,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""-"")"),"9384468179")</f>
        <v>9384468179</v>
      </c>
      <c r="M669" s="14" t="s">
        <v>71</v>
      </c>
      <c r="N669" s="14" t="s">
        <v>935</v>
      </c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22"/>
      <c r="AA669" s="22"/>
      <c r="AB669" s="22"/>
      <c r="AC669" s="22"/>
      <c r="AD669" s="22"/>
    </row>
    <row r="670">
      <c r="A670" s="14">
        <v>669.0</v>
      </c>
      <c r="B670" s="32" t="s">
        <v>976</v>
      </c>
      <c r="C670" s="16" t="str">
        <f>IFERROR(__xludf.DUMMYFUNCTION("XLOOKUP(B670,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""-"")"),"NAVEEN K S")</f>
        <v>NAVEEN K S</v>
      </c>
      <c r="D670" s="17" t="str">
        <f>IFERROR(__xludf.DUMMYFUNCTION("XLOOKUP(B670,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670" s="14" t="s">
        <v>129</v>
      </c>
      <c r="F670" s="14">
        <v>4.5</v>
      </c>
      <c r="G670" s="14" t="s">
        <v>252</v>
      </c>
      <c r="H670" s="34"/>
      <c r="I670" s="14" t="s">
        <v>432</v>
      </c>
      <c r="J670" s="14" t="s">
        <v>886</v>
      </c>
      <c r="K670" s="17" t="str">
        <f>IFERROR(__xludf.DUMMYFUNCTION("XLOOKUP(B670,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""-"")"),"naveen.cd23@bitsathy.ac.in")</f>
        <v>naveen.cd23@bitsathy.ac.in</v>
      </c>
      <c r="L670" s="21" t="str">
        <f>IFERROR(__xludf.DUMMYFUNCTION("XLOOKUP(B670,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""-"")"),"8825884398")</f>
        <v>8825884398</v>
      </c>
      <c r="M670" s="14" t="s">
        <v>71</v>
      </c>
      <c r="N670" s="14" t="s">
        <v>935</v>
      </c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22"/>
      <c r="AA670" s="22"/>
      <c r="AB670" s="22"/>
      <c r="AC670" s="22"/>
      <c r="AD670" s="22"/>
    </row>
    <row r="671">
      <c r="A671" s="14">
        <v>670.0</v>
      </c>
      <c r="B671" s="32" t="s">
        <v>977</v>
      </c>
      <c r="C671" s="16" t="str">
        <f>IFERROR(__xludf.DUMMYFUNCTION("XLOOKUP(B671,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""-"")"),"PRANESHRAJ S")</f>
        <v>PRANESHRAJ S</v>
      </c>
      <c r="D671" s="17" t="str">
        <f>IFERROR(__xludf.DUMMYFUNCTION("XLOOKUP(B671,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671" s="14" t="s">
        <v>129</v>
      </c>
      <c r="F671" s="14">
        <v>4.5</v>
      </c>
      <c r="G671" s="14" t="s">
        <v>252</v>
      </c>
      <c r="H671" s="34"/>
      <c r="I671" s="14" t="s">
        <v>432</v>
      </c>
      <c r="J671" s="14" t="s">
        <v>886</v>
      </c>
      <c r="K671" s="17" t="str">
        <f>IFERROR(__xludf.DUMMYFUNCTION("XLOOKUP(B671,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""-"")"),"praneshraj.cd23@bitsathy.ac.in")</f>
        <v>praneshraj.cd23@bitsathy.ac.in</v>
      </c>
      <c r="L671" s="21" t="str">
        <f>IFERROR(__xludf.DUMMYFUNCTION("XLOOKUP(B671,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""-"")"),"9942547175")</f>
        <v>9942547175</v>
      </c>
      <c r="M671" s="14" t="s">
        <v>71</v>
      </c>
      <c r="N671" s="14" t="s">
        <v>935</v>
      </c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22"/>
      <c r="AA671" s="22"/>
      <c r="AB671" s="22"/>
      <c r="AC671" s="22"/>
      <c r="AD671" s="22"/>
    </row>
    <row r="672">
      <c r="A672" s="14">
        <v>671.0</v>
      </c>
      <c r="B672" s="32" t="s">
        <v>978</v>
      </c>
      <c r="C672" s="16" t="str">
        <f>IFERROR(__xludf.DUMMYFUNCTION("XLOOKUP(B672,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""-"")"),"RITHIKA SRI K")</f>
        <v>RITHIKA SRI K</v>
      </c>
      <c r="D672" s="17" t="str">
        <f>IFERROR(__xludf.DUMMYFUNCTION("XLOOKUP(B672,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DESIGN")</f>
        <v>COMPUTER SCIENCE AND DESIGN</v>
      </c>
      <c r="E672" s="14" t="s">
        <v>129</v>
      </c>
      <c r="F672" s="14">
        <v>4.5</v>
      </c>
      <c r="G672" s="14" t="s">
        <v>252</v>
      </c>
      <c r="H672" s="34"/>
      <c r="I672" s="14" t="s">
        <v>432</v>
      </c>
      <c r="J672" s="14" t="s">
        <v>886</v>
      </c>
      <c r="K672" s="17" t="str">
        <f>IFERROR(__xludf.DUMMYFUNCTION("XLOOKUP(B672,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""-"")"),"rithikasri.cd23@bitsathy.ac.in")</f>
        <v>rithikasri.cd23@bitsathy.ac.in</v>
      </c>
      <c r="L672" s="21" t="str">
        <f>IFERROR(__xludf.DUMMYFUNCTION("XLOOKUP(B672,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""-"")"),"9345473560")</f>
        <v>9345473560</v>
      </c>
      <c r="M672" s="14" t="s">
        <v>71</v>
      </c>
      <c r="N672" s="14" t="s">
        <v>935</v>
      </c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22"/>
      <c r="AA672" s="22"/>
      <c r="AB672" s="22"/>
      <c r="AC672" s="22"/>
      <c r="AD672" s="22"/>
    </row>
    <row r="673">
      <c r="A673" s="14">
        <v>672.0</v>
      </c>
      <c r="B673" s="32" t="s">
        <v>979</v>
      </c>
      <c r="C673" s="16" t="str">
        <f>IFERROR(__xludf.DUMMYFUNCTION("XLOOKUP(B673,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""-"")"),"BAAVANA M")</f>
        <v>BAAVANA M</v>
      </c>
      <c r="D673" s="17" t="str">
        <f>IFERROR(__xludf.DUMMYFUNCTION("XLOOKUP(B673,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3" s="14" t="s">
        <v>129</v>
      </c>
      <c r="F673" s="14">
        <v>4.5</v>
      </c>
      <c r="G673" s="14" t="s">
        <v>252</v>
      </c>
      <c r="H673" s="34"/>
      <c r="I673" s="14" t="s">
        <v>432</v>
      </c>
      <c r="J673" s="14" t="s">
        <v>886</v>
      </c>
      <c r="K673" s="17" t="str">
        <f>IFERROR(__xludf.DUMMYFUNCTION("XLOOKUP(B673,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""-"")"),"baavana.cs23@bitsathy.ac.in")</f>
        <v>baavana.cs23@bitsathy.ac.in</v>
      </c>
      <c r="L673" s="21" t="str">
        <f>IFERROR(__xludf.DUMMYFUNCTION("XLOOKUP(B673,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""-"")"),"9486409030")</f>
        <v>9486409030</v>
      </c>
      <c r="M673" s="14" t="s">
        <v>71</v>
      </c>
      <c r="N673" s="14" t="s">
        <v>935</v>
      </c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22"/>
      <c r="AA673" s="22"/>
      <c r="AB673" s="22"/>
      <c r="AC673" s="22"/>
      <c r="AD673" s="22"/>
    </row>
    <row r="674">
      <c r="A674" s="14">
        <v>673.0</v>
      </c>
      <c r="B674" s="32" t="s">
        <v>980</v>
      </c>
      <c r="C674" s="16" t="str">
        <f>IFERROR(__xludf.DUMMYFUNCTION("XLOOKUP(B674,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""-"")"),"KARVENDHAN A")</f>
        <v>KARVENDHAN A</v>
      </c>
      <c r="D674" s="17" t="str">
        <f>IFERROR(__xludf.DUMMYFUNCTION("XLOOKUP(B674,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4" s="14" t="s">
        <v>129</v>
      </c>
      <c r="F674" s="14">
        <v>4.5</v>
      </c>
      <c r="G674" s="14" t="s">
        <v>252</v>
      </c>
      <c r="H674" s="34"/>
      <c r="I674" s="14" t="s">
        <v>432</v>
      </c>
      <c r="J674" s="14" t="s">
        <v>886</v>
      </c>
      <c r="K674" s="17" t="str">
        <f>IFERROR(__xludf.DUMMYFUNCTION("XLOOKUP(B674,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""-"")"),"karvendhan.cs23@bitsathy.ac.in")</f>
        <v>karvendhan.cs23@bitsathy.ac.in</v>
      </c>
      <c r="L674" s="21" t="str">
        <f>IFERROR(__xludf.DUMMYFUNCTION("XLOOKUP(B674,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""-"")"),"8754300643")</f>
        <v>8754300643</v>
      </c>
      <c r="M674" s="14" t="s">
        <v>71</v>
      </c>
      <c r="N674" s="14" t="s">
        <v>935</v>
      </c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22"/>
      <c r="AA674" s="22"/>
      <c r="AB674" s="22"/>
      <c r="AC674" s="22"/>
      <c r="AD674" s="22"/>
    </row>
    <row r="675">
      <c r="A675" s="14">
        <v>674.0</v>
      </c>
      <c r="B675" s="32" t="s">
        <v>981</v>
      </c>
      <c r="C675" s="16" t="str">
        <f>IFERROR(__xludf.DUMMYFUNCTION("XLOOKUP(B675,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""-"")"),"LAGHUSESU C")</f>
        <v>LAGHUSESU C</v>
      </c>
      <c r="D675" s="17" t="str">
        <f>IFERROR(__xludf.DUMMYFUNCTION("XLOOKUP(B675,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5" s="14" t="s">
        <v>129</v>
      </c>
      <c r="F675" s="14">
        <v>4.5</v>
      </c>
      <c r="G675" s="14" t="s">
        <v>252</v>
      </c>
      <c r="H675" s="34"/>
      <c r="I675" s="14" t="s">
        <v>432</v>
      </c>
      <c r="J675" s="14" t="s">
        <v>886</v>
      </c>
      <c r="K675" s="17" t="str">
        <f>IFERROR(__xludf.DUMMYFUNCTION("XLOOKUP(B675,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""-"")"),"laghusesu.cs23@bitsathy.ac.in")</f>
        <v>laghusesu.cs23@bitsathy.ac.in</v>
      </c>
      <c r="L675" s="21" t="str">
        <f>IFERROR(__xludf.DUMMYFUNCTION("XLOOKUP(B675,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""-"")"),"9344060788")</f>
        <v>9344060788</v>
      </c>
      <c r="M675" s="14" t="s">
        <v>71</v>
      </c>
      <c r="N675" s="14" t="s">
        <v>935</v>
      </c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22"/>
      <c r="AA675" s="22"/>
      <c r="AB675" s="22"/>
      <c r="AC675" s="22"/>
      <c r="AD675" s="22"/>
    </row>
    <row r="676">
      <c r="A676" s="14">
        <v>675.0</v>
      </c>
      <c r="B676" s="32" t="s">
        <v>982</v>
      </c>
      <c r="C676" s="16" t="str">
        <f>IFERROR(__xludf.DUMMYFUNCTION("XLOOKUP(B676,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""-"")"),"NAVINKUMAR P")</f>
        <v>NAVINKUMAR P</v>
      </c>
      <c r="D676" s="17" t="str">
        <f>IFERROR(__xludf.DUMMYFUNCTION("XLOOKUP(B676,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6" s="14" t="s">
        <v>129</v>
      </c>
      <c r="F676" s="14">
        <v>4.5</v>
      </c>
      <c r="G676" s="14" t="s">
        <v>252</v>
      </c>
      <c r="H676" s="34"/>
      <c r="I676" s="14" t="s">
        <v>432</v>
      </c>
      <c r="J676" s="14" t="s">
        <v>886</v>
      </c>
      <c r="K676" s="17" t="str">
        <f>IFERROR(__xludf.DUMMYFUNCTION("XLOOKUP(B676,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""-"")"),"navinkumar.cs23@bitsathy.ac.in")</f>
        <v>navinkumar.cs23@bitsathy.ac.in</v>
      </c>
      <c r="L676" s="21" t="str">
        <f>IFERROR(__xludf.DUMMYFUNCTION("XLOOKUP(B676,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""-"")"),"7708041037")</f>
        <v>7708041037</v>
      </c>
      <c r="M676" s="14" t="s">
        <v>71</v>
      </c>
      <c r="N676" s="14" t="s">
        <v>935</v>
      </c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22"/>
      <c r="AA676" s="22"/>
      <c r="AB676" s="22"/>
      <c r="AC676" s="22"/>
      <c r="AD676" s="22"/>
    </row>
    <row r="677">
      <c r="A677" s="14">
        <v>676.0</v>
      </c>
      <c r="B677" s="32" t="s">
        <v>983</v>
      </c>
      <c r="C677" s="16" t="str">
        <f>IFERROR(__xludf.DUMMYFUNCTION("XLOOKUP(B677,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""-"")"),"NITHISH KUMAR S P")</f>
        <v>NITHISH KUMAR S P</v>
      </c>
      <c r="D677" s="17" t="str">
        <f>IFERROR(__xludf.DUMMYFUNCTION("XLOOKUP(B677,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7" s="14" t="s">
        <v>129</v>
      </c>
      <c r="F677" s="14">
        <v>4.5</v>
      </c>
      <c r="G677" s="14" t="s">
        <v>252</v>
      </c>
      <c r="H677" s="34"/>
      <c r="I677" s="14" t="s">
        <v>432</v>
      </c>
      <c r="J677" s="14" t="s">
        <v>886</v>
      </c>
      <c r="K677" s="17" t="str">
        <f>IFERROR(__xludf.DUMMYFUNCTION("XLOOKUP(B677,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""-"")"),"nithishkumar.cs23@bitsathy.ac.in")</f>
        <v>nithishkumar.cs23@bitsathy.ac.in</v>
      </c>
      <c r="L677" s="21" t="str">
        <f>IFERROR(__xludf.DUMMYFUNCTION("XLOOKUP(B677,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""-"")"),"8903342911")</f>
        <v>8903342911</v>
      </c>
      <c r="M677" s="14" t="s">
        <v>71</v>
      </c>
      <c r="N677" s="14" t="s">
        <v>935</v>
      </c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22"/>
      <c r="AA677" s="22"/>
      <c r="AB677" s="22"/>
      <c r="AC677" s="22"/>
      <c r="AD677" s="22"/>
    </row>
    <row r="678">
      <c r="A678" s="14">
        <v>677.0</v>
      </c>
      <c r="B678" s="32" t="s">
        <v>892</v>
      </c>
      <c r="C678" s="16" t="str">
        <f>IFERROR(__xludf.DUMMYFUNCTION("XLOOKUP(B678,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""-"")"),"PROUSIKA  P N")</f>
        <v>PROUSIKA  P N</v>
      </c>
      <c r="D678" s="17" t="str">
        <f>IFERROR(__xludf.DUMMYFUNCTION("XLOOKUP(B678,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8" s="14" t="s">
        <v>129</v>
      </c>
      <c r="F678" s="14">
        <v>4.5</v>
      </c>
      <c r="G678" s="14" t="s">
        <v>252</v>
      </c>
      <c r="H678" s="34"/>
      <c r="I678" s="14" t="s">
        <v>432</v>
      </c>
      <c r="J678" s="14" t="s">
        <v>886</v>
      </c>
      <c r="K678" s="17" t="str">
        <f>IFERROR(__xludf.DUMMYFUNCTION("XLOOKUP(B678,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""-"")"),"prousika.cs23@bitsathy.ac.in")</f>
        <v>prousika.cs23@bitsathy.ac.in</v>
      </c>
      <c r="L678" s="21" t="str">
        <f>IFERROR(__xludf.DUMMYFUNCTION("XLOOKUP(B678,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""-"")"),"9751175002")</f>
        <v>9751175002</v>
      </c>
      <c r="M678" s="14" t="s">
        <v>71</v>
      </c>
      <c r="N678" s="14" t="s">
        <v>935</v>
      </c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22"/>
      <c r="AA678" s="22"/>
      <c r="AB678" s="22"/>
      <c r="AC678" s="22"/>
      <c r="AD678" s="22"/>
    </row>
    <row r="679">
      <c r="A679" s="14">
        <v>678.0</v>
      </c>
      <c r="B679" s="32" t="s">
        <v>984</v>
      </c>
      <c r="C679" s="16" t="str">
        <f>IFERROR(__xludf.DUMMYFUNCTION("XLOOKUP(B679,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""-"")"),"RAHUL HARIHARAN P")</f>
        <v>RAHUL HARIHARAN P</v>
      </c>
      <c r="D679" s="17" t="str">
        <f>IFERROR(__xludf.DUMMYFUNCTION("XLOOKUP(B679,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79" s="14" t="s">
        <v>129</v>
      </c>
      <c r="F679" s="14">
        <v>4.5</v>
      </c>
      <c r="G679" s="14" t="s">
        <v>252</v>
      </c>
      <c r="H679" s="34"/>
      <c r="I679" s="14" t="s">
        <v>432</v>
      </c>
      <c r="J679" s="14" t="s">
        <v>886</v>
      </c>
      <c r="K679" s="17" t="str">
        <f>IFERROR(__xludf.DUMMYFUNCTION("XLOOKUP(B679,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""-"")"),"rahulhariharan.cs23@bitsathy.ac.in")</f>
        <v>rahulhariharan.cs23@bitsathy.ac.in</v>
      </c>
      <c r="L679" s="21" t="str">
        <f>IFERROR(__xludf.DUMMYFUNCTION("XLOOKUP(B679,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""-"")"),"8637616662")</f>
        <v>8637616662</v>
      </c>
      <c r="M679" s="14" t="s">
        <v>71</v>
      </c>
      <c r="N679" s="14" t="s">
        <v>935</v>
      </c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22"/>
      <c r="AA679" s="22"/>
      <c r="AB679" s="22"/>
      <c r="AC679" s="22"/>
      <c r="AD679" s="22"/>
    </row>
    <row r="680">
      <c r="A680" s="14">
        <v>679.0</v>
      </c>
      <c r="B680" s="32" t="s">
        <v>985</v>
      </c>
      <c r="C680" s="16" t="str">
        <f>IFERROR(__xludf.DUMMYFUNCTION("XLOOKUP(B680,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""-"")"),"SHURUTHIGA S")</f>
        <v>SHURUTHIGA S</v>
      </c>
      <c r="D680" s="17" t="str">
        <f>IFERROR(__xludf.DUMMYFUNCTION("XLOOKUP(B680,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SCIENCE AND ENGINEERING")</f>
        <v>COMPUTER SCIENCE AND ENGINEERING</v>
      </c>
      <c r="E680" s="14" t="s">
        <v>129</v>
      </c>
      <c r="F680" s="14">
        <v>4.5</v>
      </c>
      <c r="G680" s="14" t="s">
        <v>252</v>
      </c>
      <c r="H680" s="34"/>
      <c r="I680" s="14" t="s">
        <v>432</v>
      </c>
      <c r="J680" s="14" t="s">
        <v>886</v>
      </c>
      <c r="K680" s="17" t="str">
        <f>IFERROR(__xludf.DUMMYFUNCTION("XLOOKUP(B680,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""-"")"),"shuruthiga.cs23@bitsathy.ac.in")</f>
        <v>shuruthiga.cs23@bitsathy.ac.in</v>
      </c>
      <c r="L680" s="21" t="str">
        <f>IFERROR(__xludf.DUMMYFUNCTION("XLOOKUP(B680,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""-"")"),"9952494299")</f>
        <v>9952494299</v>
      </c>
      <c r="M680" s="14" t="s">
        <v>71</v>
      </c>
      <c r="N680" s="14" t="s">
        <v>935</v>
      </c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22"/>
      <c r="AA680" s="22"/>
      <c r="AB680" s="22"/>
      <c r="AC680" s="22"/>
      <c r="AD680" s="22"/>
    </row>
    <row r="681">
      <c r="A681" s="14">
        <v>680.0</v>
      </c>
      <c r="B681" s="32" t="s">
        <v>986</v>
      </c>
      <c r="C681" s="16" t="str">
        <f>IFERROR(__xludf.DUMMYFUNCTION("XLOOKUP(B681,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""-"")"),"PRADHYUMNAN SHANKAR")</f>
        <v>PRADHYUMNAN SHANKAR</v>
      </c>
      <c r="D681" s="17" t="str">
        <f>IFERROR(__xludf.DUMMYFUNCTION("XLOOKUP(B681,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681" s="14" t="s">
        <v>129</v>
      </c>
      <c r="F681" s="14">
        <v>4.5</v>
      </c>
      <c r="G681" s="14" t="s">
        <v>252</v>
      </c>
      <c r="H681" s="34"/>
      <c r="I681" s="14" t="s">
        <v>432</v>
      </c>
      <c r="J681" s="14" t="s">
        <v>886</v>
      </c>
      <c r="K681" s="17" t="str">
        <f>IFERROR(__xludf.DUMMYFUNCTION("XLOOKUP(B681,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""-"")"),"pradhyumnanshankar.ct23@bitsathy.ac.in")</f>
        <v>pradhyumnanshankar.ct23@bitsathy.ac.in</v>
      </c>
      <c r="L681" s="21" t="str">
        <f>IFERROR(__xludf.DUMMYFUNCTION("XLOOKUP(B681,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""-"")"),"6380426168")</f>
        <v>6380426168</v>
      </c>
      <c r="M681" s="14" t="s">
        <v>71</v>
      </c>
      <c r="N681" s="14" t="s">
        <v>935</v>
      </c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22"/>
      <c r="AA681" s="22"/>
      <c r="AB681" s="22"/>
      <c r="AC681" s="22"/>
      <c r="AD681" s="22"/>
    </row>
    <row r="682">
      <c r="A682" s="14">
        <v>681.0</v>
      </c>
      <c r="B682" s="32" t="s">
        <v>987</v>
      </c>
      <c r="C682" s="16" t="str">
        <f>IFERROR(__xludf.DUMMYFUNCTION("XLOOKUP(B682,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""-"")"),"VARSHA C")</f>
        <v>VARSHA C</v>
      </c>
      <c r="D682" s="17" t="str">
        <f>IFERROR(__xludf.DUMMYFUNCTION("XLOOKUP(B682,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""-"")"),"COMPUTER TECHNOLOGY")</f>
        <v>COMPUTER TECHNOLOGY</v>
      </c>
      <c r="E682" s="14" t="s">
        <v>129</v>
      </c>
      <c r="F682" s="14">
        <v>4.5</v>
      </c>
      <c r="G682" s="14" t="s">
        <v>252</v>
      </c>
      <c r="H682" s="34"/>
      <c r="I682" s="14" t="s">
        <v>432</v>
      </c>
      <c r="J682" s="14" t="s">
        <v>886</v>
      </c>
      <c r="K682" s="17" t="str">
        <f>IFERROR(__xludf.DUMMYFUNCTION("XLOOKUP(B682,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""-"")"),"varsha.ct23@bitsathy.ac.in")</f>
        <v>varsha.ct23@bitsathy.ac.in</v>
      </c>
      <c r="L682" s="21" t="str">
        <f>IFERROR(__xludf.DUMMYFUNCTION("XLOOKUP(B682,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""-"")"),"7092107904")</f>
        <v>7092107904</v>
      </c>
      <c r="M682" s="14" t="s">
        <v>71</v>
      </c>
      <c r="N682" s="14" t="s">
        <v>935</v>
      </c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22"/>
      <c r="AA682" s="22"/>
      <c r="AB682" s="22"/>
      <c r="AC682" s="22"/>
      <c r="AD682" s="22"/>
    </row>
    <row r="683">
      <c r="A683" s="14">
        <v>682.0</v>
      </c>
      <c r="B683" s="32" t="s">
        <v>988</v>
      </c>
      <c r="C683" s="16" t="str">
        <f>IFERROR(__xludf.DUMMYFUNCTION("XLOOKUP(B683,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""-"")"),"BHARANIDHARAN  S")</f>
        <v>BHARANIDHARAN  S</v>
      </c>
      <c r="D683" s="17" t="str">
        <f>IFERROR(__xludf.DUMMYFUNCTION("XLOOKUP(B683,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83" s="14" t="s">
        <v>129</v>
      </c>
      <c r="F683" s="14">
        <v>4.5</v>
      </c>
      <c r="G683" s="14" t="s">
        <v>252</v>
      </c>
      <c r="H683" s="34"/>
      <c r="I683" s="14" t="s">
        <v>432</v>
      </c>
      <c r="J683" s="14" t="s">
        <v>886</v>
      </c>
      <c r="K683" s="17" t="str">
        <f>IFERROR(__xludf.DUMMYFUNCTION("XLOOKUP(B683,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""-"")"),"bharanidharan.ee23@bitsathy.ac.in")</f>
        <v>bharanidharan.ee23@bitsathy.ac.in</v>
      </c>
      <c r="L683" s="21" t="str">
        <f>IFERROR(__xludf.DUMMYFUNCTION("XLOOKUP(B683,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""-"")"),"7339552395")</f>
        <v>7339552395</v>
      </c>
      <c r="M683" s="14" t="s">
        <v>71</v>
      </c>
      <c r="N683" s="14" t="s">
        <v>935</v>
      </c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22"/>
      <c r="AA683" s="22"/>
      <c r="AB683" s="22"/>
      <c r="AC683" s="22"/>
      <c r="AD683" s="22"/>
    </row>
    <row r="684">
      <c r="A684" s="14">
        <v>683.0</v>
      </c>
      <c r="B684" s="32" t="s">
        <v>989</v>
      </c>
      <c r="C684" s="16" t="str">
        <f>IFERROR(__xludf.DUMMYFUNCTION("XLOOKUP(B684,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""-"")"),"HARIKRISHNA N")</f>
        <v>HARIKRISHNA N</v>
      </c>
      <c r="D684" s="17" t="str">
        <f>IFERROR(__xludf.DUMMYFUNCTION("XLOOKUP(B684,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84" s="14" t="s">
        <v>129</v>
      </c>
      <c r="F684" s="14">
        <v>4.5</v>
      </c>
      <c r="G684" s="14" t="s">
        <v>252</v>
      </c>
      <c r="H684" s="34"/>
      <c r="I684" s="14" t="s">
        <v>432</v>
      </c>
      <c r="J684" s="14" t="s">
        <v>886</v>
      </c>
      <c r="K684" s="17" t="str">
        <f>IFERROR(__xludf.DUMMYFUNCTION("XLOOKUP(B684,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""-"")"),"harikrishna.ee23@bitsathy.ac.in")</f>
        <v>harikrishna.ee23@bitsathy.ac.in</v>
      </c>
      <c r="L684" s="21" t="str">
        <f>IFERROR(__xludf.DUMMYFUNCTION("XLOOKUP(B684,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""-"")"),"7904290185")</f>
        <v>7904290185</v>
      </c>
      <c r="M684" s="14" t="s">
        <v>71</v>
      </c>
      <c r="N684" s="14" t="s">
        <v>935</v>
      </c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22"/>
      <c r="AA684" s="22"/>
      <c r="AB684" s="22"/>
      <c r="AC684" s="22"/>
      <c r="AD684" s="22"/>
    </row>
    <row r="685">
      <c r="A685" s="14">
        <v>684.0</v>
      </c>
      <c r="B685" s="32" t="s">
        <v>990</v>
      </c>
      <c r="C685" s="16" t="str">
        <f>IFERROR(__xludf.DUMMYFUNCTION("XLOOKUP(B685,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""-"")"),"KAMALESH VARMA V G")</f>
        <v>KAMALESH VARMA V G</v>
      </c>
      <c r="D685" s="17" t="str">
        <f>IFERROR(__xludf.DUMMYFUNCTION("XLOOKUP(B685,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85" s="14" t="s">
        <v>129</v>
      </c>
      <c r="F685" s="14">
        <v>4.5</v>
      </c>
      <c r="G685" s="14" t="s">
        <v>252</v>
      </c>
      <c r="H685" s="34"/>
      <c r="I685" s="14" t="s">
        <v>432</v>
      </c>
      <c r="J685" s="14" t="s">
        <v>886</v>
      </c>
      <c r="K685" s="17" t="str">
        <f>IFERROR(__xludf.DUMMYFUNCTION("XLOOKUP(B685,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""-"")"),"kamaleshvarma.ee23@bitsathy.ac.in")</f>
        <v>kamaleshvarma.ee23@bitsathy.ac.in</v>
      </c>
      <c r="L685" s="21" t="str">
        <f>IFERROR(__xludf.DUMMYFUNCTION("XLOOKUP(B685,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""-"")"),"7810079008")</f>
        <v>7810079008</v>
      </c>
      <c r="M685" s="14" t="s">
        <v>71</v>
      </c>
      <c r="N685" s="14" t="s">
        <v>935</v>
      </c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22"/>
      <c r="AA685" s="22"/>
      <c r="AB685" s="22"/>
      <c r="AC685" s="22"/>
      <c r="AD685" s="22"/>
    </row>
    <row r="686">
      <c r="A686" s="14">
        <v>685.0</v>
      </c>
      <c r="B686" s="32" t="s">
        <v>991</v>
      </c>
      <c r="C686" s="16" t="str">
        <f>IFERROR(__xludf.DUMMYFUNCTION("XLOOKUP(B686,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""-"")"),"SANTHIYA V")</f>
        <v>SANTHIYA V</v>
      </c>
      <c r="D686" s="17" t="str">
        <f>IFERROR(__xludf.DUMMYFUNCTION("XLOOKUP(B686,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686" s="14" t="s">
        <v>129</v>
      </c>
      <c r="F686" s="14">
        <v>4.5</v>
      </c>
      <c r="G686" s="14" t="s">
        <v>252</v>
      </c>
      <c r="H686" s="34"/>
      <c r="I686" s="14" t="s">
        <v>432</v>
      </c>
      <c r="J686" s="14" t="s">
        <v>886</v>
      </c>
      <c r="K686" s="17" t="str">
        <f>IFERROR(__xludf.DUMMYFUNCTION("XLOOKUP(B686,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""-"")"),"santhiya.ee23@bitsathy.ac.in")</f>
        <v>santhiya.ee23@bitsathy.ac.in</v>
      </c>
      <c r="L686" s="21" t="str">
        <f>IFERROR(__xludf.DUMMYFUNCTION("XLOOKUP(B686,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""-"")"),"9842387745")</f>
        <v>9842387745</v>
      </c>
      <c r="M686" s="14" t="s">
        <v>71</v>
      </c>
      <c r="N686" s="14" t="s">
        <v>935</v>
      </c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22"/>
      <c r="AA686" s="22"/>
      <c r="AB686" s="22"/>
      <c r="AC686" s="22"/>
      <c r="AD686" s="22"/>
    </row>
    <row r="687">
      <c r="A687" s="14">
        <v>686.0</v>
      </c>
      <c r="B687" s="32" t="s">
        <v>992</v>
      </c>
      <c r="C687" s="16" t="str">
        <f>IFERROR(__xludf.DUMMYFUNCTION("XLOOKUP(B687,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""-"")"),"CELSIA JUVANITTA J")</f>
        <v>CELSIA JUVANITTA J</v>
      </c>
      <c r="D687" s="17" t="str">
        <f>IFERROR(__xludf.DUMMYFUNCTION("XLOOKUP(B687,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87" s="14" t="s">
        <v>129</v>
      </c>
      <c r="F687" s="14">
        <v>4.5</v>
      </c>
      <c r="G687" s="14" t="s">
        <v>252</v>
      </c>
      <c r="H687" s="34"/>
      <c r="I687" s="14" t="s">
        <v>432</v>
      </c>
      <c r="J687" s="14" t="s">
        <v>886</v>
      </c>
      <c r="K687" s="17" t="str">
        <f>IFERROR(__xludf.DUMMYFUNCTION("XLOOKUP(B687,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""-"")"),"celsiajuvanitta.ec23@bitsathy.ac.in")</f>
        <v>celsiajuvanitta.ec23@bitsathy.ac.in</v>
      </c>
      <c r="L687" s="21" t="str">
        <f>IFERROR(__xludf.DUMMYFUNCTION("XLOOKUP(B687,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""-"")"),"7010051120")</f>
        <v>7010051120</v>
      </c>
      <c r="M687" s="14" t="s">
        <v>71</v>
      </c>
      <c r="N687" s="14" t="s">
        <v>935</v>
      </c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22"/>
      <c r="AA687" s="22"/>
      <c r="AB687" s="22"/>
      <c r="AC687" s="22"/>
      <c r="AD687" s="22"/>
    </row>
    <row r="688">
      <c r="A688" s="14">
        <v>687.0</v>
      </c>
      <c r="B688" s="32" t="s">
        <v>993</v>
      </c>
      <c r="C688" s="16" t="str">
        <f>IFERROR(__xludf.DUMMYFUNCTION("XLOOKUP(B688,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""-"")"),"JAIDEV M C")</f>
        <v>JAIDEV M C</v>
      </c>
      <c r="D688" s="17" t="str">
        <f>IFERROR(__xludf.DUMMYFUNCTION("XLOOKUP(B688,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88" s="14" t="s">
        <v>129</v>
      </c>
      <c r="F688" s="14">
        <v>4.5</v>
      </c>
      <c r="G688" s="14" t="s">
        <v>252</v>
      </c>
      <c r="H688" s="34"/>
      <c r="I688" s="14" t="s">
        <v>432</v>
      </c>
      <c r="J688" s="14" t="s">
        <v>886</v>
      </c>
      <c r="K688" s="17" t="str">
        <f>IFERROR(__xludf.DUMMYFUNCTION("XLOOKUP(B688,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""-"")"),"jaidev.ec23@bitsathy.ac.in")</f>
        <v>jaidev.ec23@bitsathy.ac.in</v>
      </c>
      <c r="L688" s="21" t="str">
        <f>IFERROR(__xludf.DUMMYFUNCTION("XLOOKUP(B688,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""-"")"),"9629849070")</f>
        <v>9629849070</v>
      </c>
      <c r="M688" s="14" t="s">
        <v>71</v>
      </c>
      <c r="N688" s="14" t="s">
        <v>935</v>
      </c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22"/>
      <c r="AA688" s="22"/>
      <c r="AB688" s="22"/>
      <c r="AC688" s="22"/>
      <c r="AD688" s="22"/>
    </row>
    <row r="689">
      <c r="A689" s="14">
        <v>688.0</v>
      </c>
      <c r="B689" s="32" t="s">
        <v>994</v>
      </c>
      <c r="C689" s="16" t="str">
        <f>IFERROR(__xludf.DUMMYFUNCTION("XLOOKUP(B689,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""-"")"),"KABILAN R")</f>
        <v>KABILAN R</v>
      </c>
      <c r="D689" s="17" t="str">
        <f>IFERROR(__xludf.DUMMYFUNCTION("XLOOKUP(B689,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89" s="14" t="s">
        <v>129</v>
      </c>
      <c r="F689" s="14">
        <v>4.5</v>
      </c>
      <c r="G689" s="14" t="s">
        <v>252</v>
      </c>
      <c r="H689" s="34"/>
      <c r="I689" s="14" t="s">
        <v>432</v>
      </c>
      <c r="J689" s="14" t="s">
        <v>886</v>
      </c>
      <c r="K689" s="17" t="str">
        <f>IFERROR(__xludf.DUMMYFUNCTION("XLOOKUP(B689,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""-"")"),"kabilanr.ec23@bitsathy.ac.in")</f>
        <v>kabilanr.ec23@bitsathy.ac.in</v>
      </c>
      <c r="L689" s="21" t="str">
        <f>IFERROR(__xludf.DUMMYFUNCTION("XLOOKUP(B689,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""-"")"),"9344759574")</f>
        <v>9344759574</v>
      </c>
      <c r="M689" s="14" t="s">
        <v>71</v>
      </c>
      <c r="N689" s="14" t="s">
        <v>935</v>
      </c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22"/>
      <c r="AA689" s="22"/>
      <c r="AB689" s="22"/>
      <c r="AC689" s="22"/>
      <c r="AD689" s="22"/>
    </row>
    <row r="690">
      <c r="A690" s="14">
        <v>689.0</v>
      </c>
      <c r="B690" s="32" t="s">
        <v>995</v>
      </c>
      <c r="C690" s="16" t="str">
        <f>IFERROR(__xludf.DUMMYFUNCTION("XLOOKUP(B690,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""-"")"),"KEERTHIVASAN J")</f>
        <v>KEERTHIVASAN J</v>
      </c>
      <c r="D690" s="17" t="str">
        <f>IFERROR(__xludf.DUMMYFUNCTION("XLOOKUP(B690,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90" s="14" t="s">
        <v>129</v>
      </c>
      <c r="F690" s="14">
        <v>4.5</v>
      </c>
      <c r="G690" s="14" t="s">
        <v>252</v>
      </c>
      <c r="H690" s="34"/>
      <c r="I690" s="14" t="s">
        <v>432</v>
      </c>
      <c r="J690" s="14" t="s">
        <v>886</v>
      </c>
      <c r="K690" s="17" t="str">
        <f>IFERROR(__xludf.DUMMYFUNCTION("XLOOKUP(B690,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""-"")"),"keerthivasanj.ec23@bitsathy.ac.in")</f>
        <v>keerthivasanj.ec23@bitsathy.ac.in</v>
      </c>
      <c r="L690" s="21" t="str">
        <f>IFERROR(__xludf.DUMMYFUNCTION("XLOOKUP(B690,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""-"")"),"9751818852")</f>
        <v>9751818852</v>
      </c>
      <c r="M690" s="14" t="s">
        <v>71</v>
      </c>
      <c r="N690" s="14" t="s">
        <v>935</v>
      </c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22"/>
      <c r="AA690" s="22"/>
      <c r="AB690" s="22"/>
      <c r="AC690" s="22"/>
      <c r="AD690" s="22"/>
    </row>
    <row r="691">
      <c r="A691" s="14">
        <v>690.0</v>
      </c>
      <c r="B691" s="32" t="s">
        <v>996</v>
      </c>
      <c r="C691" s="16" t="str">
        <f>IFERROR(__xludf.DUMMYFUNCTION("XLOOKUP(B691,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""-"")"),"MADHUMITHA S")</f>
        <v>MADHUMITHA S</v>
      </c>
      <c r="D691" s="17" t="str">
        <f>IFERROR(__xludf.DUMMYFUNCTION("XLOOKUP(B691,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91" s="14" t="s">
        <v>129</v>
      </c>
      <c r="F691" s="14">
        <v>4.5</v>
      </c>
      <c r="G691" s="14" t="s">
        <v>252</v>
      </c>
      <c r="H691" s="34"/>
      <c r="I691" s="14" t="s">
        <v>432</v>
      </c>
      <c r="J691" s="14" t="s">
        <v>886</v>
      </c>
      <c r="K691" s="17" t="str">
        <f>IFERROR(__xludf.DUMMYFUNCTION("XLOOKUP(B691,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""-"")"),"madhumitha.ec23@bitsathy.ac.in")</f>
        <v>madhumitha.ec23@bitsathy.ac.in</v>
      </c>
      <c r="L691" s="21" t="str">
        <f>IFERROR(__xludf.DUMMYFUNCTION("XLOOKUP(B691,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""-"")"),"9659592572")</f>
        <v>9659592572</v>
      </c>
      <c r="M691" s="14" t="s">
        <v>71</v>
      </c>
      <c r="N691" s="14" t="s">
        <v>935</v>
      </c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22"/>
      <c r="AA691" s="22"/>
      <c r="AB691" s="22"/>
      <c r="AC691" s="22"/>
      <c r="AD691" s="22"/>
    </row>
    <row r="692">
      <c r="A692" s="14">
        <v>691.0</v>
      </c>
      <c r="B692" s="32" t="s">
        <v>907</v>
      </c>
      <c r="C692" s="16" t="str">
        <f>IFERROR(__xludf.DUMMYFUNCTION("XLOOKUP(B692,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""-"")"),"MOHAMMED HUSSAIN F")</f>
        <v>MOHAMMED HUSSAIN F</v>
      </c>
      <c r="D692" s="17" t="str">
        <f>IFERROR(__xludf.DUMMYFUNCTION("XLOOKUP(B692,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92" s="14" t="s">
        <v>129</v>
      </c>
      <c r="F692" s="14">
        <v>4.5</v>
      </c>
      <c r="G692" s="14" t="s">
        <v>252</v>
      </c>
      <c r="H692" s="34"/>
      <c r="I692" s="14" t="s">
        <v>432</v>
      </c>
      <c r="J692" s="14" t="s">
        <v>886</v>
      </c>
      <c r="K692" s="17" t="str">
        <f>IFERROR(__xludf.DUMMYFUNCTION("XLOOKUP(B692,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""-"")"),"mohammedhussain.ec23@bitsathy.ac.in")</f>
        <v>mohammedhussain.ec23@bitsathy.ac.in</v>
      </c>
      <c r="L692" s="21" t="str">
        <f>IFERROR(__xludf.DUMMYFUNCTION("XLOOKUP(B692,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""-"")"),"7708908532")</f>
        <v>7708908532</v>
      </c>
      <c r="M692" s="14" t="s">
        <v>71</v>
      </c>
      <c r="N692" s="14" t="s">
        <v>935</v>
      </c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22"/>
      <c r="AA692" s="22"/>
      <c r="AB692" s="22"/>
      <c r="AC692" s="22"/>
      <c r="AD692" s="22"/>
    </row>
    <row r="693">
      <c r="A693" s="14">
        <v>692.0</v>
      </c>
      <c r="B693" s="32" t="s">
        <v>997</v>
      </c>
      <c r="C693" s="16" t="str">
        <f>IFERROR(__xludf.DUMMYFUNCTION("XLOOKUP(B693,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""-"")"),"OVIYA S S")</f>
        <v>OVIYA S S</v>
      </c>
      <c r="D693" s="17" t="str">
        <f>IFERROR(__xludf.DUMMYFUNCTION("XLOOKUP(B693,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693" s="14" t="s">
        <v>129</v>
      </c>
      <c r="F693" s="14">
        <v>4.5</v>
      </c>
      <c r="G693" s="14" t="s">
        <v>252</v>
      </c>
      <c r="H693" s="34"/>
      <c r="I693" s="14" t="s">
        <v>432</v>
      </c>
      <c r="J693" s="14" t="s">
        <v>886</v>
      </c>
      <c r="K693" s="17" t="str">
        <f>IFERROR(__xludf.DUMMYFUNCTION("XLOOKUP(B693,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""-"")"),"oviya.ec23@bitsathy.ac.in")</f>
        <v>oviya.ec23@bitsathy.ac.in</v>
      </c>
      <c r="L693" s="21" t="str">
        <f>IFERROR(__xludf.DUMMYFUNCTION("XLOOKUP(B693,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""-"")"),"9042460433")</f>
        <v>9042460433</v>
      </c>
      <c r="M693" s="14" t="s">
        <v>71</v>
      </c>
      <c r="N693" s="14" t="s">
        <v>935</v>
      </c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22"/>
      <c r="AA693" s="22"/>
      <c r="AB693" s="22"/>
      <c r="AC693" s="22"/>
      <c r="AD693" s="22"/>
    </row>
    <row r="694">
      <c r="A694" s="14">
        <v>693.0</v>
      </c>
      <c r="B694" s="32" t="s">
        <v>958</v>
      </c>
      <c r="C694" s="16" t="str">
        <f>IFERROR(__xludf.DUMMYFUNCTION("XLOOKUP(B694,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""-"")"),"JANUS JENIN A")</f>
        <v>JANUS JENIN A</v>
      </c>
      <c r="D694" s="17" t="str">
        <f>IFERROR(__xludf.DUMMYFUNCTION("XLOOKUP(B694,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94" s="14" t="s">
        <v>129</v>
      </c>
      <c r="F694" s="14">
        <v>4.5</v>
      </c>
      <c r="G694" s="14" t="s">
        <v>252</v>
      </c>
      <c r="H694" s="34"/>
      <c r="I694" s="14" t="s">
        <v>432</v>
      </c>
      <c r="J694" s="14" t="s">
        <v>886</v>
      </c>
      <c r="K694" s="17" t="str">
        <f>IFERROR(__xludf.DUMMYFUNCTION("XLOOKUP(B694,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""-"")"),"janusjenin.ei23@bitsathy.ac.in")</f>
        <v>janusjenin.ei23@bitsathy.ac.in</v>
      </c>
      <c r="L694" s="21" t="str">
        <f>IFERROR(__xludf.DUMMYFUNCTION("XLOOKUP(B694,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""-"")"),"9345436558")</f>
        <v>9345436558</v>
      </c>
      <c r="M694" s="14" t="s">
        <v>71</v>
      </c>
      <c r="N694" s="14" t="s">
        <v>935</v>
      </c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22"/>
      <c r="AA694" s="22"/>
      <c r="AB694" s="22"/>
      <c r="AC694" s="22"/>
      <c r="AD694" s="22"/>
    </row>
    <row r="695">
      <c r="A695" s="14">
        <v>694.0</v>
      </c>
      <c r="B695" s="32" t="s">
        <v>998</v>
      </c>
      <c r="C695" s="16" t="str">
        <f>IFERROR(__xludf.DUMMYFUNCTION("XLOOKUP(B695,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""-"")"),"PRATHIKSHA M")</f>
        <v>PRATHIKSHA M</v>
      </c>
      <c r="D695" s="17" t="str">
        <f>IFERROR(__xludf.DUMMYFUNCTION("XLOOKUP(B695,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INSTRUMENTATION ENGINEERING")</f>
        <v>ELECTRONICS AND INSTRUMENTATION ENGINEERING</v>
      </c>
      <c r="E695" s="14" t="s">
        <v>129</v>
      </c>
      <c r="F695" s="14">
        <v>4.5</v>
      </c>
      <c r="G695" s="14" t="s">
        <v>252</v>
      </c>
      <c r="H695" s="34"/>
      <c r="I695" s="14" t="s">
        <v>432</v>
      </c>
      <c r="J695" s="14" t="s">
        <v>886</v>
      </c>
      <c r="K695" s="17" t="str">
        <f>IFERROR(__xludf.DUMMYFUNCTION("XLOOKUP(B695,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""-"")"),"prathiksha.ei23@bitsathy.ac.in")</f>
        <v>prathiksha.ei23@bitsathy.ac.in</v>
      </c>
      <c r="L695" s="21" t="str">
        <f>IFERROR(__xludf.DUMMYFUNCTION("XLOOKUP(B695,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""-"")"),"9787592270")</f>
        <v>9787592270</v>
      </c>
      <c r="M695" s="14" t="s">
        <v>71</v>
      </c>
      <c r="N695" s="14" t="s">
        <v>935</v>
      </c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22"/>
      <c r="AA695" s="22"/>
      <c r="AB695" s="22"/>
      <c r="AC695" s="22"/>
      <c r="AD695" s="22"/>
    </row>
    <row r="696">
      <c r="A696" s="14">
        <v>695.0</v>
      </c>
      <c r="B696" s="32" t="s">
        <v>999</v>
      </c>
      <c r="C696" s="16" t="str">
        <f>IFERROR(__xludf.DUMMYFUNCTION("XLOOKUP(B696,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""-"")"),"INDHUPRIYAH P P")</f>
        <v>INDHUPRIYAH P P</v>
      </c>
      <c r="D696" s="17" t="str">
        <f>IFERROR(__xludf.DUMMYFUNCTION("XLOOKUP(B696,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696" s="14" t="s">
        <v>129</v>
      </c>
      <c r="F696" s="14">
        <v>4.5</v>
      </c>
      <c r="G696" s="14" t="s">
        <v>252</v>
      </c>
      <c r="H696" s="34"/>
      <c r="I696" s="14" t="s">
        <v>432</v>
      </c>
      <c r="J696" s="14" t="s">
        <v>886</v>
      </c>
      <c r="K696" s="17" t="str">
        <f>IFERROR(__xludf.DUMMYFUNCTION("XLOOKUP(B696,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""-"")"),"indhupriyah.se23@bitsathy.ac.in")</f>
        <v>indhupriyah.se23@bitsathy.ac.in</v>
      </c>
      <c r="L696" s="21" t="str">
        <f>IFERROR(__xludf.DUMMYFUNCTION("XLOOKUP(B696,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""-"")"),"7904368696")</f>
        <v>7904368696</v>
      </c>
      <c r="M696" s="14" t="s">
        <v>71</v>
      </c>
      <c r="N696" s="14" t="s">
        <v>935</v>
      </c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22"/>
      <c r="AA696" s="22"/>
      <c r="AB696" s="22"/>
      <c r="AC696" s="22"/>
      <c r="AD696" s="22"/>
    </row>
    <row r="697">
      <c r="A697" s="14">
        <v>696.0</v>
      </c>
      <c r="B697" s="32" t="s">
        <v>1000</v>
      </c>
      <c r="C697" s="16" t="str">
        <f>IFERROR(__xludf.DUMMYFUNCTION("XLOOKUP(B697,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""-"")"),"SUBHIKSHATH S K")</f>
        <v>SUBHIKSHATH S K</v>
      </c>
      <c r="D697" s="17" t="str">
        <f>IFERROR(__xludf.DUMMYFUNCTION("XLOOKUP(B697,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697" s="14" t="s">
        <v>129</v>
      </c>
      <c r="F697" s="14">
        <v>4.5</v>
      </c>
      <c r="G697" s="14" t="s">
        <v>252</v>
      </c>
      <c r="H697" s="34"/>
      <c r="I697" s="14" t="s">
        <v>432</v>
      </c>
      <c r="J697" s="14" t="s">
        <v>886</v>
      </c>
      <c r="K697" s="17" t="str">
        <f>IFERROR(__xludf.DUMMYFUNCTION("XLOOKUP(B697,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""-"")"),"subhikshath.se23@bitsathy.ac.in")</f>
        <v>subhikshath.se23@bitsathy.ac.in</v>
      </c>
      <c r="L697" s="21" t="str">
        <f>IFERROR(__xludf.DUMMYFUNCTION("XLOOKUP(B697,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""-"")"),"8110954277")</f>
        <v>8110954277</v>
      </c>
      <c r="M697" s="14" t="s">
        <v>71</v>
      </c>
      <c r="N697" s="14" t="s">
        <v>935</v>
      </c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22"/>
      <c r="AA697" s="22"/>
      <c r="AB697" s="22"/>
      <c r="AC697" s="22"/>
      <c r="AD697" s="22"/>
    </row>
    <row r="698">
      <c r="A698" s="14">
        <v>697.0</v>
      </c>
      <c r="B698" s="32" t="s">
        <v>1001</v>
      </c>
      <c r="C698" s="16" t="str">
        <f>IFERROR(__xludf.DUMMYFUNCTION("XLOOKUP(B698,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""-"")"),"SUDARSANA M")</f>
        <v>SUDARSANA M</v>
      </c>
      <c r="D698" s="17" t="str">
        <f>IFERROR(__xludf.DUMMYFUNCTION("XLOOKUP(B698,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SCIENCE AND ENGINEERING")</f>
        <v>INFORMATION SCIENCE AND ENGINEERING</v>
      </c>
      <c r="E698" s="14" t="s">
        <v>129</v>
      </c>
      <c r="F698" s="14">
        <v>4.5</v>
      </c>
      <c r="G698" s="14" t="s">
        <v>252</v>
      </c>
      <c r="H698" s="34"/>
      <c r="I698" s="14" t="s">
        <v>432</v>
      </c>
      <c r="J698" s="14" t="s">
        <v>886</v>
      </c>
      <c r="K698" s="17" t="str">
        <f>IFERROR(__xludf.DUMMYFUNCTION("XLOOKUP(B698,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""-"")"),"sudarsana.se23@bitsathy.ac.in")</f>
        <v>sudarsana.se23@bitsathy.ac.in</v>
      </c>
      <c r="L698" s="21" t="str">
        <f>IFERROR(__xludf.DUMMYFUNCTION("XLOOKUP(B698,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""-"")"),"6379553236")</f>
        <v>6379553236</v>
      </c>
      <c r="M698" s="14" t="s">
        <v>71</v>
      </c>
      <c r="N698" s="14" t="s">
        <v>935</v>
      </c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22"/>
      <c r="AA698" s="22"/>
      <c r="AB698" s="22"/>
      <c r="AC698" s="22"/>
      <c r="AD698" s="22"/>
    </row>
    <row r="699">
      <c r="A699" s="14">
        <v>698.0</v>
      </c>
      <c r="B699" s="32" t="s">
        <v>1002</v>
      </c>
      <c r="C699" s="16" t="str">
        <f>IFERROR(__xludf.DUMMYFUNCTION("XLOOKUP(B699,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""-"")"),"DHARANEESH A")</f>
        <v>DHARANEESH A</v>
      </c>
      <c r="D699" s="17" t="str">
        <f>IFERROR(__xludf.DUMMYFUNCTION("XLOOKUP(B699,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699" s="14" t="s">
        <v>129</v>
      </c>
      <c r="F699" s="14">
        <v>4.5</v>
      </c>
      <c r="G699" s="14" t="s">
        <v>252</v>
      </c>
      <c r="H699" s="34"/>
      <c r="I699" s="14" t="s">
        <v>432</v>
      </c>
      <c r="J699" s="14" t="s">
        <v>886</v>
      </c>
      <c r="K699" s="17" t="str">
        <f>IFERROR(__xludf.DUMMYFUNCTION("XLOOKUP(B699,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""-"")"),"dharaneesh.it23@bitsathy.ac.in")</f>
        <v>dharaneesh.it23@bitsathy.ac.in</v>
      </c>
      <c r="L699" s="21" t="str">
        <f>IFERROR(__xludf.DUMMYFUNCTION("XLOOKUP(B699,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""-"")"),"8778625335")</f>
        <v>8778625335</v>
      </c>
      <c r="M699" s="14" t="s">
        <v>71</v>
      </c>
      <c r="N699" s="14" t="s">
        <v>935</v>
      </c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22"/>
      <c r="AA699" s="22"/>
      <c r="AB699" s="22"/>
      <c r="AC699" s="22"/>
      <c r="AD699" s="22"/>
    </row>
    <row r="700">
      <c r="A700" s="14">
        <v>699.0</v>
      </c>
      <c r="B700" s="32" t="s">
        <v>1003</v>
      </c>
      <c r="C700" s="16" t="str">
        <f>IFERROR(__xludf.DUMMYFUNCTION("XLOOKUP(B700,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""-"")"),"KANISHKAR M")</f>
        <v>KANISHKAR M</v>
      </c>
      <c r="D700" s="17" t="str">
        <f>IFERROR(__xludf.DUMMYFUNCTION("XLOOKUP(B700,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0" s="14" t="s">
        <v>129</v>
      </c>
      <c r="F700" s="14">
        <v>4.5</v>
      </c>
      <c r="G700" s="14" t="s">
        <v>252</v>
      </c>
      <c r="H700" s="34"/>
      <c r="I700" s="14" t="s">
        <v>432</v>
      </c>
      <c r="J700" s="14" t="s">
        <v>886</v>
      </c>
      <c r="K700" s="17" t="str">
        <f>IFERROR(__xludf.DUMMYFUNCTION("XLOOKUP(B700,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""-"")"),"kanishkarm.it23@bitsathy.ac.in")</f>
        <v>kanishkarm.it23@bitsathy.ac.in</v>
      </c>
      <c r="L700" s="21" t="str">
        <f>IFERROR(__xludf.DUMMYFUNCTION("XLOOKUP(B700,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""-"")"),"7904386185")</f>
        <v>7904386185</v>
      </c>
      <c r="M700" s="14" t="s">
        <v>71</v>
      </c>
      <c r="N700" s="14" t="s">
        <v>935</v>
      </c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22"/>
      <c r="AA700" s="22"/>
      <c r="AB700" s="22"/>
      <c r="AC700" s="22"/>
      <c r="AD700" s="22"/>
    </row>
    <row r="701">
      <c r="A701" s="14">
        <v>700.0</v>
      </c>
      <c r="B701" s="32" t="s">
        <v>1004</v>
      </c>
      <c r="C701" s="16" t="str">
        <f>IFERROR(__xludf.DUMMYFUNCTION("XLOOKUP(B701,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""-"")"),"KRITHIGA BASKAR")</f>
        <v>KRITHIGA BASKAR</v>
      </c>
      <c r="D701" s="17" t="str">
        <f>IFERROR(__xludf.DUMMYFUNCTION("XLOOKUP(B701,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1" s="14" t="s">
        <v>129</v>
      </c>
      <c r="F701" s="14">
        <v>4.5</v>
      </c>
      <c r="G701" s="14" t="s">
        <v>252</v>
      </c>
      <c r="H701" s="34"/>
      <c r="I701" s="14" t="s">
        <v>432</v>
      </c>
      <c r="J701" s="14" t="s">
        <v>886</v>
      </c>
      <c r="K701" s="17" t="str">
        <f>IFERROR(__xludf.DUMMYFUNCTION("XLOOKUP(B701,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""-"")"),"krithiga.it23@bitsathy.ac.in")</f>
        <v>krithiga.it23@bitsathy.ac.in</v>
      </c>
      <c r="L701" s="21" t="str">
        <f>IFERROR(__xludf.DUMMYFUNCTION("XLOOKUP(B701,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""-"")"),"6381370916")</f>
        <v>6381370916</v>
      </c>
      <c r="M701" s="14" t="s">
        <v>71</v>
      </c>
      <c r="N701" s="14" t="s">
        <v>935</v>
      </c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22"/>
      <c r="AA701" s="22"/>
      <c r="AB701" s="22"/>
      <c r="AC701" s="22"/>
      <c r="AD701" s="22"/>
    </row>
    <row r="702">
      <c r="A702" s="14">
        <v>701.0</v>
      </c>
      <c r="B702" s="32" t="s">
        <v>1005</v>
      </c>
      <c r="C702" s="16" t="str">
        <f>IFERROR(__xludf.DUMMYFUNCTION("XLOOKUP(B702,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""-"")"),"MUKESH D")</f>
        <v>MUKESH D</v>
      </c>
      <c r="D702" s="17" t="str">
        <f>IFERROR(__xludf.DUMMYFUNCTION("XLOOKUP(B702,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2" s="14" t="s">
        <v>129</v>
      </c>
      <c r="F702" s="14">
        <v>4.5</v>
      </c>
      <c r="G702" s="14" t="s">
        <v>252</v>
      </c>
      <c r="H702" s="34"/>
      <c r="I702" s="14" t="s">
        <v>432</v>
      </c>
      <c r="J702" s="14" t="s">
        <v>886</v>
      </c>
      <c r="K702" s="17" t="str">
        <f>IFERROR(__xludf.DUMMYFUNCTION("XLOOKUP(B702,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""-"")"),"mukesh.it23@bitsathy.ac.in")</f>
        <v>mukesh.it23@bitsathy.ac.in</v>
      </c>
      <c r="L702" s="21" t="str">
        <f>IFERROR(__xludf.DUMMYFUNCTION("XLOOKUP(B702,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""-"")"),"8870599442")</f>
        <v>8870599442</v>
      </c>
      <c r="M702" s="14" t="s">
        <v>71</v>
      </c>
      <c r="N702" s="14" t="s">
        <v>935</v>
      </c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22"/>
      <c r="AA702" s="22"/>
      <c r="AB702" s="22"/>
      <c r="AC702" s="22"/>
      <c r="AD702" s="22"/>
    </row>
    <row r="703">
      <c r="A703" s="14">
        <v>702.0</v>
      </c>
      <c r="B703" s="32" t="s">
        <v>1006</v>
      </c>
      <c r="C703" s="16" t="str">
        <f>IFERROR(__xludf.DUMMYFUNCTION("XLOOKUP(B703,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""-"")"),"NIKESH G")</f>
        <v>NIKESH G</v>
      </c>
      <c r="D703" s="17" t="str">
        <f>IFERROR(__xludf.DUMMYFUNCTION("XLOOKUP(B703,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3" s="14" t="s">
        <v>129</v>
      </c>
      <c r="F703" s="14">
        <v>4.5</v>
      </c>
      <c r="G703" s="14" t="s">
        <v>252</v>
      </c>
      <c r="H703" s="34"/>
      <c r="I703" s="14" t="s">
        <v>432</v>
      </c>
      <c r="J703" s="14" t="s">
        <v>886</v>
      </c>
      <c r="K703" s="17" t="str">
        <f>IFERROR(__xludf.DUMMYFUNCTION("XLOOKUP(B703,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""-"")"),"nikesh.it23@bitsathy.ac.in")</f>
        <v>nikesh.it23@bitsathy.ac.in</v>
      </c>
      <c r="L703" s="21" t="str">
        <f>IFERROR(__xludf.DUMMYFUNCTION("XLOOKUP(B703,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""-"")"),"7904706242")</f>
        <v>7904706242</v>
      </c>
      <c r="M703" s="14" t="s">
        <v>71</v>
      </c>
      <c r="N703" s="14" t="s">
        <v>935</v>
      </c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22"/>
      <c r="AA703" s="22"/>
      <c r="AB703" s="22"/>
      <c r="AC703" s="22"/>
      <c r="AD703" s="22"/>
    </row>
    <row r="704">
      <c r="A704" s="14">
        <v>703.0</v>
      </c>
      <c r="B704" s="32" t="s">
        <v>904</v>
      </c>
      <c r="C704" s="16" t="str">
        <f>IFERROR(__xludf.DUMMYFUNCTION("XLOOKUP(B704,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""-"")"),"NIVASHINI K")</f>
        <v>NIVASHINI K</v>
      </c>
      <c r="D704" s="17" t="str">
        <f>IFERROR(__xludf.DUMMYFUNCTION("XLOOKUP(B704,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4" s="14" t="s">
        <v>129</v>
      </c>
      <c r="F704" s="14">
        <v>4.5</v>
      </c>
      <c r="G704" s="14" t="s">
        <v>252</v>
      </c>
      <c r="H704" s="34"/>
      <c r="I704" s="14" t="s">
        <v>432</v>
      </c>
      <c r="J704" s="14" t="s">
        <v>886</v>
      </c>
      <c r="K704" s="17" t="str">
        <f>IFERROR(__xludf.DUMMYFUNCTION("XLOOKUP(B704,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""-"")"),"nivashini.it23@bitsathy.ac.in")</f>
        <v>nivashini.it23@bitsathy.ac.in</v>
      </c>
      <c r="L704" s="21" t="str">
        <f>IFERROR(__xludf.DUMMYFUNCTION("XLOOKUP(B704,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""-"")"),"9361401985")</f>
        <v>9361401985</v>
      </c>
      <c r="M704" s="14" t="s">
        <v>71</v>
      </c>
      <c r="N704" s="14" t="s">
        <v>935</v>
      </c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22"/>
      <c r="AA704" s="22"/>
      <c r="AB704" s="22"/>
      <c r="AC704" s="22"/>
      <c r="AD704" s="22"/>
    </row>
    <row r="705">
      <c r="A705" s="14">
        <v>704.0</v>
      </c>
      <c r="B705" s="32" t="s">
        <v>1007</v>
      </c>
      <c r="C705" s="16" t="str">
        <f>IFERROR(__xludf.DUMMYFUNCTION("XLOOKUP(B705,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""-"")"),"PRANAV HARI R S")</f>
        <v>PRANAV HARI R S</v>
      </c>
      <c r="D705" s="17" t="str">
        <f>IFERROR(__xludf.DUMMYFUNCTION("XLOOKUP(B705,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5" s="14" t="s">
        <v>129</v>
      </c>
      <c r="F705" s="14">
        <v>4.5</v>
      </c>
      <c r="G705" s="14" t="s">
        <v>252</v>
      </c>
      <c r="H705" s="34"/>
      <c r="I705" s="14" t="s">
        <v>432</v>
      </c>
      <c r="J705" s="14" t="s">
        <v>886</v>
      </c>
      <c r="K705" s="17" t="str">
        <f>IFERROR(__xludf.DUMMYFUNCTION("XLOOKUP(B705,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""-"")"),"pranavhari.it23@bitsathy.ac.in")</f>
        <v>pranavhari.it23@bitsathy.ac.in</v>
      </c>
      <c r="L705" s="21" t="str">
        <f>IFERROR(__xludf.DUMMYFUNCTION("XLOOKUP(B705,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""-"")"),"9003764929")</f>
        <v>9003764929</v>
      </c>
      <c r="M705" s="14" t="s">
        <v>71</v>
      </c>
      <c r="N705" s="14" t="s">
        <v>935</v>
      </c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22"/>
      <c r="AA705" s="22"/>
      <c r="AB705" s="22"/>
      <c r="AC705" s="22"/>
      <c r="AD705" s="22"/>
    </row>
    <row r="706">
      <c r="A706" s="14">
        <v>705.0</v>
      </c>
      <c r="B706" s="32" t="s">
        <v>1008</v>
      </c>
      <c r="C706" s="16" t="str">
        <f>IFERROR(__xludf.DUMMYFUNCTION("XLOOKUP(B706,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""-"")"),"SOBIKA M")</f>
        <v>SOBIKA M</v>
      </c>
      <c r="D706" s="17" t="str">
        <f>IFERROR(__xludf.DUMMYFUNCTION("XLOOKUP(B706,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6" s="14" t="s">
        <v>129</v>
      </c>
      <c r="F706" s="14">
        <v>4.5</v>
      </c>
      <c r="G706" s="14" t="s">
        <v>252</v>
      </c>
      <c r="H706" s="34"/>
      <c r="I706" s="14" t="s">
        <v>432</v>
      </c>
      <c r="J706" s="14" t="s">
        <v>886</v>
      </c>
      <c r="K706" s="17" t="str">
        <f>IFERROR(__xludf.DUMMYFUNCTION("XLOOKUP(B706,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""-"")"),"sobika.it23@bitsathy.ac.in")</f>
        <v>sobika.it23@bitsathy.ac.in</v>
      </c>
      <c r="L706" s="21" t="str">
        <f>IFERROR(__xludf.DUMMYFUNCTION("XLOOKUP(B706,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""-"")"),"9342359693")</f>
        <v>9342359693</v>
      </c>
      <c r="M706" s="14" t="s">
        <v>71</v>
      </c>
      <c r="N706" s="14" t="s">
        <v>935</v>
      </c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22"/>
      <c r="AA706" s="22"/>
      <c r="AB706" s="22"/>
      <c r="AC706" s="22"/>
      <c r="AD706" s="22"/>
    </row>
    <row r="707">
      <c r="A707" s="14">
        <v>706.0</v>
      </c>
      <c r="B707" s="32" t="s">
        <v>1009</v>
      </c>
      <c r="C707" s="16" t="str">
        <f>IFERROR(__xludf.DUMMYFUNCTION("XLOOKUP(B707,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""-"")"),"VIJAYARAGAVAN  R")</f>
        <v>VIJAYARAGAVAN  R</v>
      </c>
      <c r="D707" s="17" t="str">
        <f>IFERROR(__xludf.DUMMYFUNCTION("XLOOKUP(B707,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07" s="14" t="s">
        <v>129</v>
      </c>
      <c r="F707" s="14">
        <v>4.5</v>
      </c>
      <c r="G707" s="14" t="s">
        <v>252</v>
      </c>
      <c r="H707" s="34"/>
      <c r="I707" s="14" t="s">
        <v>432</v>
      </c>
      <c r="J707" s="14" t="s">
        <v>886</v>
      </c>
      <c r="K707" s="17" t="str">
        <f>IFERROR(__xludf.DUMMYFUNCTION("XLOOKUP(B707,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""-"")"),"vijayaragavan.it23@bitsathy.ac.in")</f>
        <v>vijayaragavan.it23@bitsathy.ac.in</v>
      </c>
      <c r="L707" s="21" t="str">
        <f>IFERROR(__xludf.DUMMYFUNCTION("XLOOKUP(B707,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""-"")"),"8667257833")</f>
        <v>8667257833</v>
      </c>
      <c r="M707" s="14" t="s">
        <v>71</v>
      </c>
      <c r="N707" s="14" t="s">
        <v>935</v>
      </c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22"/>
      <c r="AA707" s="22"/>
      <c r="AB707" s="22"/>
      <c r="AC707" s="22"/>
      <c r="AD707" s="22"/>
    </row>
    <row r="708">
      <c r="A708" s="14">
        <v>707.0</v>
      </c>
      <c r="B708" s="32" t="s">
        <v>327</v>
      </c>
      <c r="C708" s="16" t="str">
        <f>IFERROR(__xludf.DUMMYFUNCTION("XLOOKUP(B708,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""-"")"),"SAHUL HAMEED M")</f>
        <v>SAHUL HAMEED M</v>
      </c>
      <c r="D708" s="17" t="str">
        <f>IFERROR(__xludf.DUMMYFUNCTION("XLOOKUP(B708,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""-"")"),"CIVIL ENGINEERING")</f>
        <v>CIVIL ENGINEERING</v>
      </c>
      <c r="E708" s="14" t="s">
        <v>163</v>
      </c>
      <c r="F708" s="14">
        <v>4.0</v>
      </c>
      <c r="G708" s="14" t="s">
        <v>59</v>
      </c>
      <c r="H708" s="34"/>
      <c r="I708" s="14" t="s">
        <v>136</v>
      </c>
      <c r="J708" s="14" t="s">
        <v>266</v>
      </c>
      <c r="K708" s="17" t="str">
        <f>IFERROR(__xludf.DUMMYFUNCTION("XLOOKUP(B708,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""-"")"),"sahulhameed.ce23@bitsathy.ac.in")</f>
        <v>sahulhameed.ce23@bitsathy.ac.in</v>
      </c>
      <c r="L708" s="21" t="str">
        <f>IFERROR(__xludf.DUMMYFUNCTION("XLOOKUP(B708,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""-"")"),"9344022645")</f>
        <v>9344022645</v>
      </c>
      <c r="M708" s="14" t="s">
        <v>71</v>
      </c>
      <c r="N708" s="14" t="s">
        <v>935</v>
      </c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22"/>
      <c r="AA708" s="22"/>
      <c r="AB708" s="22"/>
      <c r="AC708" s="22"/>
      <c r="AD708" s="22"/>
    </row>
    <row r="709">
      <c r="A709" s="14">
        <v>708.0</v>
      </c>
      <c r="B709" s="32" t="s">
        <v>725</v>
      </c>
      <c r="C709" s="16" t="str">
        <f>IFERROR(__xludf.DUMMYFUNCTION("XLOOKUP(B709,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""-"")"),"YOGESH KUMAR S")</f>
        <v>YOGESH KUMAR S</v>
      </c>
      <c r="D709" s="17" t="str">
        <f>IFERROR(__xludf.DUMMYFUNCTION("XLOOKUP(B709,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709" s="14" t="s">
        <v>142</v>
      </c>
      <c r="F709" s="14">
        <v>5.0</v>
      </c>
      <c r="G709" s="14" t="s">
        <v>252</v>
      </c>
      <c r="H709" s="34"/>
      <c r="I709" s="14" t="s">
        <v>136</v>
      </c>
      <c r="J709" s="14" t="s">
        <v>266</v>
      </c>
      <c r="K709" s="17" t="str">
        <f>IFERROR(__xludf.DUMMYFUNCTION("XLOOKUP(B709,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""-"")"),"yogeshkumar.me23@bitsathy.ac.in")</f>
        <v>yogeshkumar.me23@bitsathy.ac.in</v>
      </c>
      <c r="L709" s="21" t="str">
        <f>IFERROR(__xludf.DUMMYFUNCTION("XLOOKUP(B709,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""-"")"),"9080901518")</f>
        <v>9080901518</v>
      </c>
      <c r="M709" s="14" t="s">
        <v>71</v>
      </c>
      <c r="N709" s="14" t="s">
        <v>935</v>
      </c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22"/>
      <c r="AA709" s="22"/>
      <c r="AB709" s="22"/>
      <c r="AC709" s="22"/>
      <c r="AD709" s="22"/>
    </row>
    <row r="710">
      <c r="A710" s="14">
        <v>709.0</v>
      </c>
      <c r="B710" s="32" t="s">
        <v>719</v>
      </c>
      <c r="C710" s="16" t="str">
        <f>IFERROR(__xludf.DUMMYFUNCTION("XLOOKUP(B710,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""-"")"),"THARUN KUMAR P")</f>
        <v>THARUN KUMAR P</v>
      </c>
      <c r="D710" s="17" t="str">
        <f>IFERROR(__xludf.DUMMYFUNCTION("XLOOKUP(B710,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710" s="14" t="s">
        <v>142</v>
      </c>
      <c r="F710" s="14">
        <v>5.0</v>
      </c>
      <c r="G710" s="14" t="s">
        <v>252</v>
      </c>
      <c r="H710" s="34"/>
      <c r="I710" s="14" t="s">
        <v>136</v>
      </c>
      <c r="J710" s="14" t="s">
        <v>266</v>
      </c>
      <c r="K710" s="17" t="str">
        <f>IFERROR(__xludf.DUMMYFUNCTION("XLOOKUP(B710,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""-"")"),"tharunkumar.me23@bitsathy.ac.in")</f>
        <v>tharunkumar.me23@bitsathy.ac.in</v>
      </c>
      <c r="L710" s="21" t="str">
        <f>IFERROR(__xludf.DUMMYFUNCTION("XLOOKUP(B710,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""-"")"),"7806828867")</f>
        <v>7806828867</v>
      </c>
      <c r="M710" s="14" t="s">
        <v>71</v>
      </c>
      <c r="N710" s="14" t="s">
        <v>935</v>
      </c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22"/>
      <c r="AA710" s="22"/>
      <c r="AB710" s="22"/>
      <c r="AC710" s="22"/>
      <c r="AD710" s="22"/>
    </row>
    <row r="711">
      <c r="A711" s="21">
        <v>710.0</v>
      </c>
      <c r="B711" s="32" t="s">
        <v>1010</v>
      </c>
      <c r="C711" s="16" t="str">
        <f>IFERROR(__xludf.DUMMYFUNCTION("XLOOKUP(B711,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""-"")"),"GOWTHAM P")</f>
        <v>GOWTHAM P</v>
      </c>
      <c r="D711" s="17" t="str">
        <f>IFERROR(__xludf.DUMMYFUNCTION("XLOOKUP(B711,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1" s="33" t="s">
        <v>177</v>
      </c>
      <c r="F711" s="14">
        <v>3.0</v>
      </c>
      <c r="G711" s="14" t="s">
        <v>252</v>
      </c>
      <c r="H711" s="34"/>
      <c r="I711" s="14" t="s">
        <v>136</v>
      </c>
      <c r="J711" s="14" t="s">
        <v>99</v>
      </c>
      <c r="K711" s="17" t="str">
        <f>IFERROR(__xludf.DUMMYFUNCTION("XLOOKUP(B711,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""-"")"),"gowtham.mz23@bitsathy.ac.in")</f>
        <v>gowtham.mz23@bitsathy.ac.in</v>
      </c>
      <c r="L711" s="21" t="str">
        <f>IFERROR(__xludf.DUMMYFUNCTION("XLOOKUP(B711,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""-"")"),"9342771456")</f>
        <v>9342771456</v>
      </c>
      <c r="M711" s="14" t="s">
        <v>240</v>
      </c>
      <c r="N711" s="14" t="s">
        <v>1011</v>
      </c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22"/>
      <c r="AA711" s="22"/>
      <c r="AB711" s="22"/>
      <c r="AC711" s="22"/>
      <c r="AD711" s="22"/>
    </row>
    <row r="712">
      <c r="A712" s="21">
        <v>711.0</v>
      </c>
      <c r="B712" s="32" t="s">
        <v>1012</v>
      </c>
      <c r="C712" s="16" t="str">
        <f>IFERROR(__xludf.DUMMYFUNCTION("XLOOKUP(B712,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""-"")"),"GURUPRASATH A")</f>
        <v>GURUPRASATH A</v>
      </c>
      <c r="D712" s="17" t="str">
        <f>IFERROR(__xludf.DUMMYFUNCTION("XLOOKUP(B712,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2" s="33" t="s">
        <v>177</v>
      </c>
      <c r="F712" s="14">
        <v>3.0</v>
      </c>
      <c r="G712" s="14" t="s">
        <v>252</v>
      </c>
      <c r="H712" s="34"/>
      <c r="I712" s="14" t="s">
        <v>136</v>
      </c>
      <c r="J712" s="14" t="s">
        <v>99</v>
      </c>
      <c r="K712" s="17" t="str">
        <f>IFERROR(__xludf.DUMMYFUNCTION("XLOOKUP(B712,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""-"")"),"guruprasath.mz23@bitsathy.ac.in")</f>
        <v>guruprasath.mz23@bitsathy.ac.in</v>
      </c>
      <c r="L712" s="21" t="str">
        <f>IFERROR(__xludf.DUMMYFUNCTION("XLOOKUP(B712,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""-"")"),"6381995951")</f>
        <v>6381995951</v>
      </c>
      <c r="M712" s="14" t="s">
        <v>240</v>
      </c>
      <c r="N712" s="14" t="s">
        <v>1011</v>
      </c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22"/>
      <c r="AA712" s="22"/>
      <c r="AB712" s="22"/>
      <c r="AC712" s="22"/>
      <c r="AD712" s="22"/>
    </row>
    <row r="713">
      <c r="A713" s="21">
        <v>712.0</v>
      </c>
      <c r="B713" s="32" t="s">
        <v>1013</v>
      </c>
      <c r="C713" s="16" t="str">
        <f>IFERROR(__xludf.DUMMYFUNCTION("XLOOKUP(B713,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""-"")"),"MANOSIYA  U")</f>
        <v>MANOSIYA  U</v>
      </c>
      <c r="D713" s="17" t="str">
        <f>IFERROR(__xludf.DUMMYFUNCTION("XLOOKUP(B713,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3" s="33" t="s">
        <v>177</v>
      </c>
      <c r="F713" s="14">
        <v>3.0</v>
      </c>
      <c r="G713" s="14" t="s">
        <v>252</v>
      </c>
      <c r="H713" s="34"/>
      <c r="I713" s="14" t="s">
        <v>136</v>
      </c>
      <c r="J713" s="14" t="s">
        <v>99</v>
      </c>
      <c r="K713" s="17" t="str">
        <f>IFERROR(__xludf.DUMMYFUNCTION("XLOOKUP(B713,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""-"")"),"manosiya.mz23@bitsathy.ac.in")</f>
        <v>manosiya.mz23@bitsathy.ac.in</v>
      </c>
      <c r="L713" s="21" t="str">
        <f>IFERROR(__xludf.DUMMYFUNCTION("XLOOKUP(B713,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""-"")"),"9342433042")</f>
        <v>9342433042</v>
      </c>
      <c r="M713" s="14" t="s">
        <v>240</v>
      </c>
      <c r="N713" s="14" t="s">
        <v>1011</v>
      </c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22"/>
      <c r="AA713" s="22"/>
      <c r="AB713" s="22"/>
      <c r="AC713" s="22"/>
      <c r="AD713" s="22"/>
    </row>
    <row r="714">
      <c r="A714" s="21">
        <v>713.0</v>
      </c>
      <c r="B714" s="32" t="s">
        <v>1014</v>
      </c>
      <c r="C714" s="16" t="str">
        <f>IFERROR(__xludf.DUMMYFUNCTION("XLOOKUP(B714,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""-"")"),"RITHIKA SRI M")</f>
        <v>RITHIKA SRI M</v>
      </c>
      <c r="D714" s="17" t="str">
        <f>IFERROR(__xludf.DUMMYFUNCTION("XLOOKUP(B714,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4" s="33" t="s">
        <v>177</v>
      </c>
      <c r="F714" s="14">
        <v>3.0</v>
      </c>
      <c r="G714" s="14" t="s">
        <v>252</v>
      </c>
      <c r="H714" s="34"/>
      <c r="I714" s="14" t="s">
        <v>136</v>
      </c>
      <c r="J714" s="14" t="s">
        <v>99</v>
      </c>
      <c r="K714" s="17" t="str">
        <f>IFERROR(__xludf.DUMMYFUNCTION("XLOOKUP(B714,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""-"")"),"rithikasri.mz23@bitsathy.ac.in")</f>
        <v>rithikasri.mz23@bitsathy.ac.in</v>
      </c>
      <c r="L714" s="21" t="str">
        <f>IFERROR(__xludf.DUMMYFUNCTION("XLOOKUP(B714,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""-"")"),"7502707124")</f>
        <v>7502707124</v>
      </c>
      <c r="M714" s="14" t="s">
        <v>240</v>
      </c>
      <c r="N714" s="14" t="s">
        <v>1011</v>
      </c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22"/>
      <c r="AA714" s="22"/>
      <c r="AB714" s="22"/>
      <c r="AC714" s="22"/>
      <c r="AD714" s="22"/>
    </row>
    <row r="715">
      <c r="A715" s="21">
        <v>714.0</v>
      </c>
      <c r="B715" s="32" t="s">
        <v>1015</v>
      </c>
      <c r="C715" s="16" t="str">
        <f>IFERROR(__xludf.DUMMYFUNCTION("XLOOKUP(B715,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""-"")"),"KARTHIK V")</f>
        <v>KARTHIK V</v>
      </c>
      <c r="D715" s="17" t="str">
        <f>IFERROR(__xludf.DUMMYFUNCTION("XLOOKUP(B715,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5" s="33" t="s">
        <v>177</v>
      </c>
      <c r="F715" s="14">
        <v>3.0</v>
      </c>
      <c r="G715" s="14" t="s">
        <v>252</v>
      </c>
      <c r="H715" s="34"/>
      <c r="I715" s="14" t="s">
        <v>136</v>
      </c>
      <c r="J715" s="14" t="s">
        <v>99</v>
      </c>
      <c r="K715" s="17" t="str">
        <f>IFERROR(__xludf.DUMMYFUNCTION("XLOOKUP(B715,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""-"")"),"karthikv.mz23@bitsathy.ac.in")</f>
        <v>karthikv.mz23@bitsathy.ac.in</v>
      </c>
      <c r="L715" s="21" t="str">
        <f>IFERROR(__xludf.DUMMYFUNCTION("XLOOKUP(B715,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""-"")"),"9488081007")</f>
        <v>9488081007</v>
      </c>
      <c r="M715" s="14" t="s">
        <v>240</v>
      </c>
      <c r="N715" s="14" t="s">
        <v>1011</v>
      </c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22"/>
      <c r="AA715" s="22"/>
      <c r="AB715" s="22"/>
      <c r="AC715" s="22"/>
      <c r="AD715" s="22"/>
    </row>
    <row r="716">
      <c r="A716" s="14">
        <v>715.0</v>
      </c>
      <c r="B716" s="32" t="s">
        <v>1016</v>
      </c>
      <c r="C716" s="16" t="str">
        <f>IFERROR(__xludf.DUMMYFUNCTION("XLOOKUP(B716,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""-"")"),"SATHIK MANSUR B")</f>
        <v>SATHIK MANSUR B</v>
      </c>
      <c r="D716" s="17" t="str">
        <f>IFERROR(__xludf.DUMMYFUNCTION("XLOOKUP(B716,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6" s="14" t="s">
        <v>177</v>
      </c>
      <c r="F716" s="14">
        <v>3.0</v>
      </c>
      <c r="G716" s="14" t="s">
        <v>252</v>
      </c>
      <c r="H716" s="34"/>
      <c r="I716" s="14" t="s">
        <v>136</v>
      </c>
      <c r="J716" s="14" t="s">
        <v>99</v>
      </c>
      <c r="K716" s="17" t="str">
        <f>IFERROR(__xludf.DUMMYFUNCTION("XLOOKUP(B716,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""-"")"),"sathikmansurb.mz23@bitsathy.ac.in")</f>
        <v>sathikmansurb.mz23@bitsathy.ac.in</v>
      </c>
      <c r="L716" s="21" t="str">
        <f>IFERROR(__xludf.DUMMYFUNCTION("XLOOKUP(B716,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""-"")"),"9363499528")</f>
        <v>9363499528</v>
      </c>
      <c r="M716" s="14" t="s">
        <v>240</v>
      </c>
      <c r="N716" s="14" t="s">
        <v>1011</v>
      </c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22"/>
      <c r="AA716" s="22"/>
      <c r="AB716" s="22"/>
      <c r="AC716" s="22"/>
      <c r="AD716" s="22"/>
    </row>
    <row r="717">
      <c r="A717" s="14">
        <v>716.0</v>
      </c>
      <c r="B717" s="32" t="s">
        <v>1017</v>
      </c>
      <c r="C717" s="16" t="str">
        <f>IFERROR(__xludf.DUMMYFUNCTION("XLOOKUP(B717,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""-"")"),"KAVINKUMAR E D")</f>
        <v>KAVINKUMAR E D</v>
      </c>
      <c r="D717" s="17" t="str">
        <f>IFERROR(__xludf.DUMMYFUNCTION("XLOOKUP(B717,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7" s="14" t="s">
        <v>177</v>
      </c>
      <c r="F717" s="14">
        <v>3.0</v>
      </c>
      <c r="G717" s="14" t="s">
        <v>252</v>
      </c>
      <c r="H717" s="34"/>
      <c r="I717" s="14" t="s">
        <v>136</v>
      </c>
      <c r="J717" s="14" t="s">
        <v>99</v>
      </c>
      <c r="K717" s="17" t="str">
        <f>IFERROR(__xludf.DUMMYFUNCTION("XLOOKUP(B717,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""-"")"),"kavinkumared.mz23@bitsathy.ac.in")</f>
        <v>kavinkumared.mz23@bitsathy.ac.in</v>
      </c>
      <c r="L717" s="21" t="str">
        <f>IFERROR(__xludf.DUMMYFUNCTION("XLOOKUP(B717,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""-"")"),"9500528376")</f>
        <v>9500528376</v>
      </c>
      <c r="M717" s="14" t="s">
        <v>240</v>
      </c>
      <c r="N717" s="14" t="s">
        <v>1011</v>
      </c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22"/>
      <c r="AA717" s="22"/>
      <c r="AB717" s="22"/>
      <c r="AC717" s="22"/>
      <c r="AD717" s="22"/>
    </row>
    <row r="718">
      <c r="A718" s="14">
        <v>717.0</v>
      </c>
      <c r="B718" s="32" t="s">
        <v>1018</v>
      </c>
      <c r="C718" s="16" t="str">
        <f>IFERROR(__xludf.DUMMYFUNCTION("XLOOKUP(B718,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""-"")"),"KAMESH D")</f>
        <v>KAMESH D</v>
      </c>
      <c r="D718" s="17" t="str">
        <f>IFERROR(__xludf.DUMMYFUNCTION("XLOOKUP(B718,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""-"")"),"MECHATRONICS ENGINEERING")</f>
        <v>MECHATRONICS ENGINEERING</v>
      </c>
      <c r="E718" s="14" t="s">
        <v>177</v>
      </c>
      <c r="F718" s="14">
        <v>3.0</v>
      </c>
      <c r="G718" s="14" t="s">
        <v>252</v>
      </c>
      <c r="H718" s="34"/>
      <c r="I718" s="14" t="s">
        <v>136</v>
      </c>
      <c r="J718" s="14" t="s">
        <v>99</v>
      </c>
      <c r="K718" s="17" t="str">
        <f>IFERROR(__xludf.DUMMYFUNCTION("XLOOKUP(B718,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""-"")"),"kamesh.mz23@bitsathy.ac.in")</f>
        <v>kamesh.mz23@bitsathy.ac.in</v>
      </c>
      <c r="L718" s="21" t="str">
        <f>IFERROR(__xludf.DUMMYFUNCTION("XLOOKUP(B718,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""-"")"),"9842483205")</f>
        <v>9842483205</v>
      </c>
      <c r="M718" s="14" t="s">
        <v>240</v>
      </c>
      <c r="N718" s="14" t="s">
        <v>1011</v>
      </c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22"/>
      <c r="AA718" s="22"/>
      <c r="AB718" s="22"/>
      <c r="AC718" s="22"/>
      <c r="AD718" s="22"/>
    </row>
    <row r="719">
      <c r="A719" s="14">
        <v>718.0</v>
      </c>
      <c r="B719" s="32" t="s">
        <v>1019</v>
      </c>
      <c r="C719" s="16" t="str">
        <f>IFERROR(__xludf.DUMMYFUNCTION("XLOOKUP(B719,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""-"")"),"RITHIKA P")</f>
        <v>RITHIKA P</v>
      </c>
      <c r="D719" s="17" t="str">
        <f>IFERROR(__xludf.DUMMYFUNCTION("XLOOKUP(B719,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719" s="14" t="s">
        <v>119</v>
      </c>
      <c r="F719" s="14">
        <v>6.16</v>
      </c>
      <c r="G719" s="14" t="s">
        <v>252</v>
      </c>
      <c r="H719" s="34"/>
      <c r="I719" s="14" t="s">
        <v>136</v>
      </c>
      <c r="J719" s="14" t="s">
        <v>266</v>
      </c>
      <c r="K719" s="17" t="str">
        <f>IFERROR(__xludf.DUMMYFUNCTION("XLOOKUP(B719,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""-"")"),"rithika.ec23@bitsathy.ac.in")</f>
        <v>rithika.ec23@bitsathy.ac.in</v>
      </c>
      <c r="L719" s="21">
        <f>IFERROR(__xludf.DUMMYFUNCTION("XLOOKUP(B719,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""-"")"),9.043091633E9)</f>
        <v>9043091633</v>
      </c>
      <c r="M719" s="14" t="s">
        <v>71</v>
      </c>
      <c r="N719" s="14" t="s">
        <v>1020</v>
      </c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22"/>
      <c r="AA719" s="22"/>
      <c r="AB719" s="22"/>
      <c r="AC719" s="22"/>
      <c r="AD719" s="22"/>
    </row>
    <row r="720">
      <c r="A720" s="14">
        <v>719.0</v>
      </c>
      <c r="B720" s="32" t="s">
        <v>1021</v>
      </c>
      <c r="C720" s="16" t="str">
        <f>IFERROR(__xludf.DUMMYFUNCTION("XLOOKUP(B720,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""-"")"),"RAJA PRADEEPA R")</f>
        <v>RAJA PRADEEPA R</v>
      </c>
      <c r="D720" s="17" t="str">
        <f>IFERROR(__xludf.DUMMYFUNCTION("XLOOKUP(B720,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""-"")"),"ELECTRICAL AND ELECTRONICS ENGINEERING")</f>
        <v>ELECTRICAL AND ELECTRONICS ENGINEERING</v>
      </c>
      <c r="E720" s="14" t="s">
        <v>119</v>
      </c>
      <c r="F720" s="14">
        <v>6.16</v>
      </c>
      <c r="G720" s="14" t="s">
        <v>252</v>
      </c>
      <c r="H720" s="34"/>
      <c r="I720" s="14" t="s">
        <v>136</v>
      </c>
      <c r="J720" s="14" t="s">
        <v>266</v>
      </c>
      <c r="K720" s="17" t="str">
        <f>IFERROR(__xludf.DUMMYFUNCTION("XLOOKUP(B720,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""-"")"),"rajapradeepa.ee23@bitsathy.ac.in")</f>
        <v>rajapradeepa.ee23@bitsathy.ac.in</v>
      </c>
      <c r="L720" s="21" t="str">
        <f>IFERROR(__xludf.DUMMYFUNCTION("XLOOKUP(B720,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""-"")"),"9043463214")</f>
        <v>9043463214</v>
      </c>
      <c r="M720" s="14" t="s">
        <v>71</v>
      </c>
      <c r="N720" s="14" t="s">
        <v>1020</v>
      </c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22"/>
      <c r="AA720" s="22"/>
      <c r="AB720" s="22"/>
      <c r="AC720" s="22"/>
      <c r="AD720" s="22"/>
    </row>
    <row r="721">
      <c r="A721" s="14">
        <v>720.0</v>
      </c>
      <c r="B721" s="32" t="s">
        <v>1022</v>
      </c>
      <c r="C721" s="16" t="str">
        <f>IFERROR(__xludf.DUMMYFUNCTION("XLOOKUP(B721,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""-"")"),"RAHUL  B")</f>
        <v>RAHUL  B</v>
      </c>
      <c r="D721" s="17" t="str">
        <f>IFERROR(__xludf.DUMMYFUNCTION("XLOOKUP(B721,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""-"")"),"MECHANICAL ENGINEERING")</f>
        <v>MECHANICAL ENGINEERING</v>
      </c>
      <c r="E721" s="14" t="s">
        <v>105</v>
      </c>
      <c r="F721" s="14">
        <v>7.5</v>
      </c>
      <c r="G721" s="14" t="s">
        <v>252</v>
      </c>
      <c r="H721" s="34"/>
      <c r="I721" s="14" t="s">
        <v>62</v>
      </c>
      <c r="J721" s="14" t="s">
        <v>266</v>
      </c>
      <c r="K721" s="17" t="str">
        <f>IFERROR(__xludf.DUMMYFUNCTION("XLOOKUP(B721,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""-"")"),"rahul.me23@bitsathy.ac.in")</f>
        <v>rahul.me23@bitsathy.ac.in</v>
      </c>
      <c r="L721" s="21" t="str">
        <f>IFERROR(__xludf.DUMMYFUNCTION("XLOOKUP(B721,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""-"")"),"8778957072")</f>
        <v>8778957072</v>
      </c>
      <c r="M721" s="14" t="s">
        <v>420</v>
      </c>
      <c r="N721" s="14" t="s">
        <v>1023</v>
      </c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22"/>
      <c r="AA721" s="22"/>
      <c r="AB721" s="22"/>
      <c r="AC721" s="22"/>
      <c r="AD721" s="22"/>
    </row>
    <row r="722">
      <c r="A722" s="14">
        <v>721.0</v>
      </c>
      <c r="B722" s="32" t="s">
        <v>1024</v>
      </c>
      <c r="C722" s="16" t="str">
        <f>IFERROR(__xludf.DUMMYFUNCTION("XLOOKUP(B722,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""-"")"),"NITHIYASHREE S")</f>
        <v>NITHIYASHREE S</v>
      </c>
      <c r="D722" s="17" t="str">
        <f>IFERROR(__xludf.DUMMYFUNCTION("XLOOKUP(B722,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""-"")"),"FOOD TECHNOLOGY")</f>
        <v>FOOD TECHNOLOGY</v>
      </c>
      <c r="E722" s="14" t="s">
        <v>116</v>
      </c>
      <c r="F722" s="14">
        <v>3.0</v>
      </c>
      <c r="G722" s="14" t="s">
        <v>252</v>
      </c>
      <c r="H722" s="34"/>
      <c r="I722" s="14" t="s">
        <v>136</v>
      </c>
      <c r="J722" s="14" t="s">
        <v>886</v>
      </c>
      <c r="K722" s="17" t="str">
        <f>IFERROR(__xludf.DUMMYFUNCTION("XLOOKUP(B722,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""-"")"),"nithiyashree.fd23@bitsathy.ac.in")</f>
        <v>nithiyashree.fd23@bitsathy.ac.in</v>
      </c>
      <c r="L722" s="21" t="str">
        <f>IFERROR(__xludf.DUMMYFUNCTION("XLOOKUP(B722,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""-"")"),"8248108301")</f>
        <v>8248108301</v>
      </c>
      <c r="M722" s="14" t="s">
        <v>240</v>
      </c>
      <c r="N722" s="14" t="s">
        <v>1025</v>
      </c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22"/>
      <c r="AA722" s="22"/>
      <c r="AB722" s="22"/>
      <c r="AC722" s="22"/>
      <c r="AD722" s="22"/>
    </row>
    <row r="723">
      <c r="A723" s="14">
        <v>722.0</v>
      </c>
      <c r="B723" s="32" t="s">
        <v>1026</v>
      </c>
      <c r="C723" s="16" t="str">
        <f>IFERROR(__xludf.DUMMYFUNCTION("XLOOKUP(B723,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""-"")"),"INDHU S")</f>
        <v>INDHU S</v>
      </c>
      <c r="D723" s="17" t="str">
        <f>IFERROR(__xludf.DUMMYFUNCTION("XLOOKUP(B723,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723" s="14" t="s">
        <v>179</v>
      </c>
      <c r="F723" s="14">
        <v>3.6</v>
      </c>
      <c r="G723" s="14" t="s">
        <v>252</v>
      </c>
      <c r="H723" s="34"/>
      <c r="I723" s="14" t="s">
        <v>136</v>
      </c>
      <c r="J723" s="14" t="s">
        <v>886</v>
      </c>
      <c r="K723" s="17" t="str">
        <f>IFERROR(__xludf.DUMMYFUNCTION("XLOOKUP(B723,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""-"")"),"indhu.ec23@bitsathy.ac.in")</f>
        <v>indhu.ec23@bitsathy.ac.in</v>
      </c>
      <c r="L723" s="21" t="str">
        <f>IFERROR(__xludf.DUMMYFUNCTION("XLOOKUP(B723,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""-"")"),"9345149231")</f>
        <v>9345149231</v>
      </c>
      <c r="M723" s="14" t="s">
        <v>71</v>
      </c>
      <c r="N723" s="14" t="s">
        <v>1027</v>
      </c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22"/>
      <c r="AA723" s="22"/>
      <c r="AB723" s="22"/>
      <c r="AC723" s="22"/>
      <c r="AD723" s="22"/>
    </row>
    <row r="724">
      <c r="A724" s="14">
        <v>723.0</v>
      </c>
      <c r="B724" s="32" t="s">
        <v>1028</v>
      </c>
      <c r="C724" s="16" t="str">
        <f>IFERROR(__xludf.DUMMYFUNCTION("XLOOKUP(B724,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""-"")"),"ANEES FATHIMA B I")</f>
        <v>ANEES FATHIMA B I</v>
      </c>
      <c r="D724" s="17" t="str">
        <f>IFERROR(__xludf.DUMMYFUNCTION("XLOOKUP(B724,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724" s="14" t="s">
        <v>179</v>
      </c>
      <c r="F724" s="14">
        <v>3.6</v>
      </c>
      <c r="G724" s="14" t="s">
        <v>252</v>
      </c>
      <c r="H724" s="34"/>
      <c r="I724" s="14" t="s">
        <v>136</v>
      </c>
      <c r="J724" s="14" t="s">
        <v>886</v>
      </c>
      <c r="K724" s="17" t="str">
        <f>IFERROR(__xludf.DUMMYFUNCTION("XLOOKUP(B724,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""-"")"),"aneesfathima.ec23@bitsathy.ac.in")</f>
        <v>aneesfathima.ec23@bitsathy.ac.in</v>
      </c>
      <c r="L724" s="21" t="str">
        <f>IFERROR(__xludf.DUMMYFUNCTION("XLOOKUP(B724,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""-"")"),"9597135353")</f>
        <v>9597135353</v>
      </c>
      <c r="M724" s="14" t="s">
        <v>71</v>
      </c>
      <c r="N724" s="14" t="s">
        <v>1027</v>
      </c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22"/>
      <c r="AA724" s="22"/>
      <c r="AB724" s="22"/>
      <c r="AC724" s="22"/>
      <c r="AD724" s="22"/>
    </row>
    <row r="725">
      <c r="A725" s="14">
        <v>724.0</v>
      </c>
      <c r="B725" s="32" t="s">
        <v>1029</v>
      </c>
      <c r="C725" s="16" t="str">
        <f>IFERROR(__xludf.DUMMYFUNCTION("XLOOKUP(B725,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""-"")"),"SUJITH NIRMAL K")</f>
        <v>SUJITH NIRMAL K</v>
      </c>
      <c r="D725" s="17" t="str">
        <f>IFERROR(__xludf.DUMMYFUNCTION("XLOOKUP(B725,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725" s="14" t="s">
        <v>179</v>
      </c>
      <c r="F725" s="14">
        <v>3.6</v>
      </c>
      <c r="G725" s="14" t="s">
        <v>252</v>
      </c>
      <c r="H725" s="34"/>
      <c r="I725" s="14" t="s">
        <v>136</v>
      </c>
      <c r="J725" s="14" t="s">
        <v>886</v>
      </c>
      <c r="K725" s="17" t="str">
        <f>IFERROR(__xludf.DUMMYFUNCTION("XLOOKUP(B725,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""-"")"),"sujithnirmal.bm23@bitsathy.ac.in")</f>
        <v>sujithnirmal.bm23@bitsathy.ac.in</v>
      </c>
      <c r="L725" s="21" t="str">
        <f>IFERROR(__xludf.DUMMYFUNCTION("XLOOKUP(B725,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""-"")"),"9789600709")</f>
        <v>9789600709</v>
      </c>
      <c r="M725" s="14" t="s">
        <v>71</v>
      </c>
      <c r="N725" s="14" t="s">
        <v>1027</v>
      </c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22"/>
      <c r="AA725" s="22"/>
      <c r="AB725" s="22"/>
      <c r="AC725" s="22"/>
      <c r="AD725" s="22"/>
    </row>
    <row r="726">
      <c r="A726" s="14">
        <v>725.0</v>
      </c>
      <c r="B726" s="32" t="s">
        <v>1030</v>
      </c>
      <c r="C726" s="16" t="str">
        <f>IFERROR(__xludf.DUMMYFUNCTION("XLOOKUP(B726,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""-"")"),"AHARNA V S")</f>
        <v>AHARNA V S</v>
      </c>
      <c r="D726" s="17" t="str">
        <f>IFERROR(__xludf.DUMMYFUNCTION("XLOOKUP(B726,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726" s="14" t="s">
        <v>179</v>
      </c>
      <c r="F726" s="14">
        <v>3.6</v>
      </c>
      <c r="G726" s="14" t="s">
        <v>252</v>
      </c>
      <c r="H726" s="34"/>
      <c r="I726" s="14" t="s">
        <v>136</v>
      </c>
      <c r="J726" s="14" t="s">
        <v>886</v>
      </c>
      <c r="K726" s="17" t="str">
        <f>IFERROR(__xludf.DUMMYFUNCTION("XLOOKUP(B726,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""-"")"),"aharna.bm23@bitsathy.ac.in")</f>
        <v>aharna.bm23@bitsathy.ac.in</v>
      </c>
      <c r="L726" s="21" t="str">
        <f>IFERROR(__xludf.DUMMYFUNCTION("XLOOKUP(B726,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""-"")"),"9500409188")</f>
        <v>9500409188</v>
      </c>
      <c r="M726" s="14" t="s">
        <v>71</v>
      </c>
      <c r="N726" s="14" t="s">
        <v>1027</v>
      </c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22"/>
      <c r="AA726" s="22"/>
      <c r="AB726" s="22"/>
      <c r="AC726" s="22"/>
      <c r="AD726" s="22"/>
    </row>
    <row r="727">
      <c r="A727" s="14">
        <v>726.0</v>
      </c>
      <c r="B727" s="32" t="s">
        <v>1031</v>
      </c>
      <c r="C727" s="16" t="str">
        <f>IFERROR(__xludf.DUMMYFUNCTION("XLOOKUP(B727,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""-"")"),"SADHANA B")</f>
        <v>SADHANA B</v>
      </c>
      <c r="D727" s="17" t="str">
        <f>IFERROR(__xludf.DUMMYFUNCTION("XLOOKUP(B727,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""-"")"),"BIOMEDICAL ENGINEERING")</f>
        <v>BIOMEDICAL ENGINEERING</v>
      </c>
      <c r="E727" s="59" t="s">
        <v>130</v>
      </c>
      <c r="F727" s="14">
        <v>3.0</v>
      </c>
      <c r="G727" s="14" t="s">
        <v>252</v>
      </c>
      <c r="H727" s="34"/>
      <c r="I727" s="14" t="s">
        <v>136</v>
      </c>
      <c r="J727" s="14"/>
      <c r="K727" s="17" t="str">
        <f>IFERROR(__xludf.DUMMYFUNCTION("XLOOKUP(B727,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""-"")"),"sadhana.bm23@bitsathy.ac.in")</f>
        <v>sadhana.bm23@bitsathy.ac.in</v>
      </c>
      <c r="L727" s="21" t="str">
        <f>IFERROR(__xludf.DUMMYFUNCTION("XLOOKUP(B727,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""-"")"),"7448730555")</f>
        <v>7448730555</v>
      </c>
      <c r="M727" s="14" t="s">
        <v>240</v>
      </c>
      <c r="N727" s="14" t="s">
        <v>1032</v>
      </c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22"/>
      <c r="AA727" s="22"/>
      <c r="AB727" s="22"/>
      <c r="AC727" s="22"/>
      <c r="AD727" s="22"/>
    </row>
    <row r="728">
      <c r="A728" s="60">
        <v>727.0</v>
      </c>
      <c r="B728" s="61" t="s">
        <v>926</v>
      </c>
      <c r="C728" s="16" t="str">
        <f>IFERROR(__xludf.DUMMYFUNCTION("XLOOKUP(B728,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""-"")"),"BOSEVETRIVELRAM M")</f>
        <v>BOSEVETRIVELRAM M</v>
      </c>
      <c r="D728" s="17" t="str">
        <f>IFERROR(__xludf.DUMMYFUNCTION("XLOOKUP(B728,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""-"")"),"ELECTRONICS AND COMMUNICATION ENGINEERING")</f>
        <v>ELECTRONICS AND COMMUNICATION ENGINEERING</v>
      </c>
      <c r="E728" s="62" t="s">
        <v>196</v>
      </c>
      <c r="F728" s="62">
        <v>3.5</v>
      </c>
      <c r="G728" s="22"/>
      <c r="H728" s="22"/>
      <c r="I728" s="14" t="s">
        <v>432</v>
      </c>
      <c r="J728" s="60"/>
      <c r="K728" s="17" t="str">
        <f>IFERROR(__xludf.DUMMYFUNCTION("XLOOKUP(B728,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""-"")"),"bosevetrivelram.ec23@bitsathy.ac.in")</f>
        <v>bosevetrivelram.ec23@bitsathy.ac.in</v>
      </c>
      <c r="L728" s="21" t="str">
        <f>IFERROR(__xludf.DUMMYFUNCTION("XLOOKUP(B728,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""-"")"),"9677619160")</f>
        <v>9677619160</v>
      </c>
      <c r="M728" s="14" t="s">
        <v>71</v>
      </c>
      <c r="N728" s="14" t="s">
        <v>1032</v>
      </c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</row>
    <row r="729">
      <c r="A729" s="60">
        <v>728.0</v>
      </c>
      <c r="B729" s="61" t="s">
        <v>1033</v>
      </c>
      <c r="C729" s="16" t="str">
        <f>IFERROR(__xludf.DUMMYFUNCTION("XLOOKUP(B729, IMPORTRANGE(""https://docs.google.com/spreadsheets/d/1UUC6R1hVFPCYDEbJMIXaIBW-jeQYiKTRixeKD_tUHGw/edit?gid=0#gid=0"", ""List!B:B""), IMPORTRANGE(""https://docs.google.com/spreadsheets/d/1UUC6R1hVFPCYDEbJMIXaIBW-jeQYiKTRixeKD_tUHGw/edit?gid=0"&amp;"#gid=0"", ""List!C:C""), ""-"")"),"AGALYA S")</f>
        <v>AGALYA S</v>
      </c>
      <c r="D729" s="17" t="str">
        <f>IFERROR(__xludf.DUMMYFUNCTION("XLOOKUP(B729, IMPORTRANGE(""https://docs.google.com/spreadsheets/d/1UUC6R1hVFPCYDEbJMIXaIBW-jeQYiKTRixeKD_tUHGw/edit?gid=0#gid=0"", ""List!B:B""), IMPORTRANGE(""https://docs.google.com/spreadsheets/d/1UUC6R1hVFPCYDEbJMIXaIBW-jeQYiKTRixeKD_tUHGw/edit?gid=0"&amp;"#gid=0"", ""List!D:D""), ""-"")"),"INFORMATION TECHNOLOGY")</f>
        <v>INFORMATION TECHNOLOGY</v>
      </c>
      <c r="E729" s="62" t="s">
        <v>196</v>
      </c>
      <c r="F729" s="62">
        <v>3.5</v>
      </c>
      <c r="G729" s="22"/>
      <c r="H729" s="22"/>
      <c r="I729" s="14" t="s">
        <v>432</v>
      </c>
      <c r="J729" s="60"/>
      <c r="K729" s="17" t="str">
        <f>IFERROR(__xludf.DUMMYFUNCTION("XLOOKUP(B729,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""List!E:E""), ""-"")"),"agalya.it23@bitsathy.ac.in")</f>
        <v>agalya.it23@bitsathy.ac.in</v>
      </c>
      <c r="L729" s="21" t="str">
        <f>IFERROR(__xludf.DUMMYFUNCTION("XLOOKUP(B729, IMPORTRANGE(""https://docs.google.com/spreadsheets/d/1GpX_8hJc54hBz8KrakqcWdiXAS6pjY1zWE_9fWBXnEM/edit?gid=1460649486#gid=1460649486"", ""List!B:B""), IMPORTRANGE(""https://docs.google.com/spreadsheets/d/1GpX_8hJc54hBz8KrakqcWdiXAS6pjY1zWE_9"&amp;"fWBXnEM/edit?gid=1460649486#gid=1460649486"", ""List!G:G""), ""-"")"),"6374297335")</f>
        <v>6374297335</v>
      </c>
      <c r="M729" s="14" t="s">
        <v>71</v>
      </c>
      <c r="N729" s="14" t="s">
        <v>1032</v>
      </c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</row>
    <row r="730">
      <c r="A730" s="60" t="s">
        <v>1034</v>
      </c>
      <c r="B730" s="63"/>
      <c r="C730" s="16"/>
      <c r="D730" s="22"/>
      <c r="E730" s="60"/>
      <c r="F730" s="60"/>
      <c r="G730" s="22"/>
      <c r="H730" s="22"/>
      <c r="I730" s="14"/>
      <c r="J730" s="60"/>
      <c r="K730" s="64"/>
      <c r="L730" s="22"/>
      <c r="M730" s="22"/>
      <c r="N730" s="65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</row>
    <row r="731">
      <c r="A731" s="60" t="s">
        <v>1034</v>
      </c>
      <c r="B731" s="63"/>
      <c r="C731" s="64"/>
      <c r="D731" s="22"/>
      <c r="E731" s="60"/>
      <c r="F731" s="60"/>
      <c r="G731" s="22"/>
      <c r="H731" s="22"/>
      <c r="I731" s="14"/>
      <c r="J731" s="60"/>
      <c r="K731" s="64"/>
      <c r="L731" s="22"/>
      <c r="M731" s="22"/>
      <c r="N731" s="65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</row>
    <row r="732">
      <c r="A732" s="60" t="s">
        <v>1034</v>
      </c>
      <c r="B732" s="63"/>
      <c r="C732" s="64"/>
      <c r="D732" s="22"/>
      <c r="E732" s="60"/>
      <c r="F732" s="60"/>
      <c r="G732" s="22"/>
      <c r="H732" s="22"/>
      <c r="I732" s="14"/>
      <c r="J732" s="60"/>
      <c r="K732" s="64"/>
      <c r="L732" s="22"/>
      <c r="M732" s="22"/>
      <c r="N732" s="65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</row>
    <row r="733">
      <c r="A733" s="60" t="s">
        <v>1034</v>
      </c>
      <c r="B733" s="63"/>
      <c r="C733" s="64"/>
      <c r="D733" s="22"/>
      <c r="E733" s="60"/>
      <c r="F733" s="60"/>
      <c r="G733" s="22"/>
      <c r="H733" s="22"/>
      <c r="I733" s="14"/>
      <c r="J733" s="60"/>
      <c r="K733" s="64"/>
      <c r="L733" s="22"/>
      <c r="M733" s="22"/>
      <c r="N733" s="65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</row>
    <row r="734">
      <c r="A734" s="60" t="s">
        <v>1034</v>
      </c>
      <c r="B734" s="63"/>
      <c r="C734" s="64"/>
      <c r="D734" s="22"/>
      <c r="E734" s="60"/>
      <c r="F734" s="60"/>
      <c r="G734" s="22"/>
      <c r="H734" s="22"/>
      <c r="I734" s="14"/>
      <c r="J734" s="60"/>
      <c r="K734" s="64"/>
      <c r="L734" s="22"/>
      <c r="M734" s="22"/>
      <c r="N734" s="65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</row>
    <row r="735">
      <c r="A735" s="60" t="s">
        <v>1034</v>
      </c>
      <c r="B735" s="63"/>
      <c r="C735" s="64"/>
      <c r="D735" s="22"/>
      <c r="E735" s="60"/>
      <c r="F735" s="60"/>
      <c r="G735" s="22"/>
      <c r="H735" s="22"/>
      <c r="I735" s="14"/>
      <c r="J735" s="60"/>
      <c r="K735" s="64"/>
      <c r="L735" s="22"/>
      <c r="M735" s="22"/>
      <c r="N735" s="65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</row>
    <row r="736">
      <c r="A736" s="60" t="s">
        <v>1034</v>
      </c>
      <c r="B736" s="63"/>
      <c r="C736" s="64"/>
      <c r="D736" s="22"/>
      <c r="E736" s="60"/>
      <c r="F736" s="60"/>
      <c r="G736" s="22"/>
      <c r="H736" s="22"/>
      <c r="I736" s="14"/>
      <c r="J736" s="60"/>
      <c r="K736" s="64"/>
      <c r="L736" s="22"/>
      <c r="M736" s="22"/>
      <c r="N736" s="65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</row>
    <row r="737">
      <c r="A737" s="60" t="s">
        <v>1034</v>
      </c>
      <c r="B737" s="63"/>
      <c r="C737" s="64"/>
      <c r="D737" s="22"/>
      <c r="E737" s="60"/>
      <c r="F737" s="60"/>
      <c r="G737" s="22"/>
      <c r="H737" s="22"/>
      <c r="I737" s="14"/>
      <c r="J737" s="60"/>
      <c r="K737" s="64"/>
      <c r="L737" s="22"/>
      <c r="M737" s="22"/>
      <c r="N737" s="65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</row>
    <row r="738">
      <c r="A738" s="60" t="s">
        <v>1034</v>
      </c>
      <c r="B738" s="63"/>
      <c r="C738" s="64"/>
      <c r="D738" s="22"/>
      <c r="E738" s="60"/>
      <c r="F738" s="60"/>
      <c r="G738" s="22"/>
      <c r="H738" s="22"/>
      <c r="I738" s="14"/>
      <c r="J738" s="60"/>
      <c r="K738" s="64"/>
      <c r="L738" s="22"/>
      <c r="M738" s="22"/>
      <c r="N738" s="65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</row>
    <row r="739">
      <c r="A739" s="60" t="s">
        <v>1034</v>
      </c>
      <c r="B739" s="63"/>
      <c r="C739" s="64"/>
      <c r="D739" s="22"/>
      <c r="E739" s="60"/>
      <c r="F739" s="60"/>
      <c r="G739" s="22"/>
      <c r="H739" s="22"/>
      <c r="I739" s="14"/>
      <c r="J739" s="60"/>
      <c r="K739" s="64"/>
      <c r="L739" s="22"/>
      <c r="M739" s="22"/>
      <c r="N739" s="65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</row>
    <row r="740">
      <c r="A740" s="60" t="s">
        <v>1034</v>
      </c>
      <c r="B740" s="63"/>
      <c r="C740" s="64"/>
      <c r="D740" s="22"/>
      <c r="E740" s="60"/>
      <c r="F740" s="60"/>
      <c r="G740" s="22"/>
      <c r="H740" s="22"/>
      <c r="I740" s="14"/>
      <c r="J740" s="60"/>
      <c r="K740" s="64"/>
      <c r="L740" s="22"/>
      <c r="M740" s="22"/>
      <c r="N740" s="65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</row>
    <row r="741">
      <c r="A741" s="60" t="s">
        <v>1034</v>
      </c>
      <c r="B741" s="63"/>
      <c r="C741" s="64"/>
      <c r="D741" s="22"/>
      <c r="E741" s="60"/>
      <c r="F741" s="60"/>
      <c r="G741" s="22"/>
      <c r="H741" s="22"/>
      <c r="I741" s="14"/>
      <c r="J741" s="60"/>
      <c r="K741" s="64"/>
      <c r="L741" s="22"/>
      <c r="M741" s="22"/>
      <c r="N741" s="65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</row>
    <row r="742">
      <c r="A742" s="60" t="s">
        <v>1034</v>
      </c>
      <c r="B742" s="63"/>
      <c r="C742" s="64"/>
      <c r="D742" s="22"/>
      <c r="E742" s="60"/>
      <c r="F742" s="60"/>
      <c r="G742" s="22"/>
      <c r="H742" s="22"/>
      <c r="I742" s="14"/>
      <c r="J742" s="60"/>
      <c r="K742" s="64"/>
      <c r="L742" s="22"/>
      <c r="M742" s="22"/>
      <c r="N742" s="65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</row>
    <row r="743">
      <c r="A743" s="60" t="s">
        <v>1034</v>
      </c>
      <c r="B743" s="63"/>
      <c r="C743" s="64"/>
      <c r="D743" s="22"/>
      <c r="E743" s="60"/>
      <c r="F743" s="60"/>
      <c r="G743" s="22"/>
      <c r="H743" s="22"/>
      <c r="I743" s="14"/>
      <c r="J743" s="60"/>
      <c r="K743" s="64"/>
      <c r="L743" s="22"/>
      <c r="M743" s="22"/>
      <c r="N743" s="65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</row>
    <row r="744">
      <c r="A744" s="60" t="s">
        <v>1034</v>
      </c>
      <c r="B744" s="63"/>
      <c r="C744" s="64"/>
      <c r="D744" s="22"/>
      <c r="E744" s="60"/>
      <c r="F744" s="60"/>
      <c r="G744" s="22"/>
      <c r="H744" s="22"/>
      <c r="I744" s="14"/>
      <c r="J744" s="60"/>
      <c r="K744" s="64"/>
      <c r="L744" s="22"/>
      <c r="M744" s="22"/>
      <c r="N744" s="65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</row>
    <row r="745">
      <c r="A745" s="60" t="s">
        <v>1034</v>
      </c>
      <c r="B745" s="63"/>
      <c r="C745" s="64"/>
      <c r="D745" s="22"/>
      <c r="E745" s="60"/>
      <c r="F745" s="60"/>
      <c r="G745" s="22"/>
      <c r="H745" s="22"/>
      <c r="I745" s="14"/>
      <c r="J745" s="60"/>
      <c r="K745" s="64"/>
      <c r="L745" s="22"/>
      <c r="M745" s="22"/>
      <c r="N745" s="65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</row>
    <row r="746">
      <c r="A746" s="60" t="s">
        <v>1034</v>
      </c>
      <c r="B746" s="63"/>
      <c r="C746" s="64"/>
      <c r="D746" s="22"/>
      <c r="E746" s="60"/>
      <c r="F746" s="60"/>
      <c r="G746" s="22"/>
      <c r="H746" s="22"/>
      <c r="I746" s="14"/>
      <c r="J746" s="60"/>
      <c r="K746" s="64"/>
      <c r="L746" s="22"/>
      <c r="M746" s="22"/>
      <c r="N746" s="65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</row>
    <row r="747">
      <c r="A747" s="60" t="s">
        <v>1034</v>
      </c>
      <c r="B747" s="63"/>
      <c r="C747" s="64"/>
      <c r="D747" s="22"/>
      <c r="E747" s="60"/>
      <c r="F747" s="60"/>
      <c r="G747" s="22"/>
      <c r="H747" s="22"/>
      <c r="I747" s="14"/>
      <c r="J747" s="60"/>
      <c r="K747" s="64"/>
      <c r="L747" s="22"/>
      <c r="M747" s="22"/>
      <c r="N747" s="65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</row>
    <row r="748">
      <c r="A748" s="60" t="s">
        <v>1034</v>
      </c>
      <c r="B748" s="63"/>
      <c r="C748" s="64"/>
      <c r="D748" s="22"/>
      <c r="E748" s="60"/>
      <c r="F748" s="60"/>
      <c r="G748" s="22"/>
      <c r="H748" s="22"/>
      <c r="I748" s="14"/>
      <c r="J748" s="60"/>
      <c r="K748" s="64"/>
      <c r="L748" s="22"/>
      <c r="M748" s="22"/>
      <c r="N748" s="65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</row>
    <row r="749">
      <c r="A749" s="60" t="s">
        <v>1034</v>
      </c>
      <c r="B749" s="63"/>
      <c r="C749" s="64"/>
      <c r="D749" s="22"/>
      <c r="E749" s="60"/>
      <c r="F749" s="60"/>
      <c r="G749" s="22"/>
      <c r="H749" s="22"/>
      <c r="I749" s="14"/>
      <c r="J749" s="60"/>
      <c r="K749" s="64"/>
      <c r="L749" s="22"/>
      <c r="M749" s="22"/>
      <c r="N749" s="65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</row>
    <row r="750">
      <c r="A750" s="60" t="s">
        <v>1034</v>
      </c>
      <c r="B750" s="63"/>
      <c r="C750" s="64"/>
      <c r="D750" s="22"/>
      <c r="E750" s="60"/>
      <c r="F750" s="60"/>
      <c r="G750" s="22"/>
      <c r="H750" s="22"/>
      <c r="I750" s="14"/>
      <c r="J750" s="60"/>
      <c r="K750" s="64"/>
      <c r="L750" s="22"/>
      <c r="M750" s="22"/>
      <c r="N750" s="65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</row>
    <row r="751">
      <c r="A751" s="60" t="s">
        <v>1034</v>
      </c>
      <c r="B751" s="63"/>
      <c r="C751" s="64"/>
      <c r="D751" s="22"/>
      <c r="E751" s="60"/>
      <c r="F751" s="60"/>
      <c r="G751" s="22"/>
      <c r="H751" s="22"/>
      <c r="I751" s="14"/>
      <c r="J751" s="60"/>
      <c r="K751" s="64"/>
      <c r="L751" s="22"/>
      <c r="M751" s="22"/>
      <c r="N751" s="65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</row>
    <row r="752">
      <c r="A752" s="60" t="s">
        <v>1034</v>
      </c>
      <c r="B752" s="63"/>
      <c r="C752" s="64"/>
      <c r="D752" s="22"/>
      <c r="E752" s="60"/>
      <c r="F752" s="60"/>
      <c r="G752" s="22"/>
      <c r="H752" s="22"/>
      <c r="I752" s="14"/>
      <c r="J752" s="60"/>
      <c r="K752" s="64"/>
      <c r="L752" s="22"/>
      <c r="M752" s="22"/>
      <c r="N752" s="65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</row>
    <row r="753">
      <c r="A753" s="60" t="s">
        <v>1034</v>
      </c>
      <c r="B753" s="63"/>
      <c r="C753" s="64"/>
      <c r="D753" s="22"/>
      <c r="E753" s="60"/>
      <c r="F753" s="60"/>
      <c r="G753" s="22"/>
      <c r="H753" s="22"/>
      <c r="I753" s="14"/>
      <c r="J753" s="60"/>
      <c r="K753" s="64"/>
      <c r="L753" s="22"/>
      <c r="M753" s="22"/>
      <c r="N753" s="65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</row>
    <row r="754">
      <c r="A754" s="60" t="s">
        <v>1034</v>
      </c>
      <c r="B754" s="63"/>
      <c r="C754" s="64"/>
      <c r="D754" s="22"/>
      <c r="E754" s="60"/>
      <c r="F754" s="60"/>
      <c r="G754" s="22"/>
      <c r="H754" s="22"/>
      <c r="I754" s="14"/>
      <c r="J754" s="60"/>
      <c r="K754" s="64"/>
      <c r="L754" s="22"/>
      <c r="M754" s="22"/>
      <c r="N754" s="65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</row>
    <row r="755">
      <c r="A755" s="60" t="s">
        <v>1034</v>
      </c>
      <c r="B755" s="63"/>
      <c r="C755" s="64"/>
      <c r="D755" s="22"/>
      <c r="E755" s="60"/>
      <c r="F755" s="60"/>
      <c r="G755" s="22"/>
      <c r="H755" s="22"/>
      <c r="I755" s="14"/>
      <c r="J755" s="60"/>
      <c r="K755" s="64"/>
      <c r="L755" s="22"/>
      <c r="M755" s="22"/>
      <c r="N755" s="65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</row>
    <row r="756">
      <c r="A756" s="60" t="s">
        <v>1034</v>
      </c>
      <c r="B756" s="63"/>
      <c r="C756" s="64"/>
      <c r="D756" s="22"/>
      <c r="E756" s="60"/>
      <c r="F756" s="60"/>
      <c r="G756" s="22"/>
      <c r="H756" s="22"/>
      <c r="I756" s="14"/>
      <c r="J756" s="60"/>
      <c r="K756" s="64"/>
      <c r="L756" s="22"/>
      <c r="M756" s="22"/>
      <c r="N756" s="65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</row>
    <row r="757">
      <c r="A757" s="60" t="s">
        <v>1034</v>
      </c>
      <c r="B757" s="63"/>
      <c r="C757" s="64"/>
      <c r="D757" s="22"/>
      <c r="E757" s="60"/>
      <c r="F757" s="60"/>
      <c r="G757" s="22"/>
      <c r="H757" s="22"/>
      <c r="I757" s="14"/>
      <c r="J757" s="60"/>
      <c r="K757" s="64"/>
      <c r="L757" s="22"/>
      <c r="M757" s="22"/>
      <c r="N757" s="65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</row>
    <row r="758">
      <c r="A758" s="60" t="s">
        <v>1034</v>
      </c>
      <c r="B758" s="63"/>
      <c r="C758" s="64"/>
      <c r="D758" s="22"/>
      <c r="E758" s="60"/>
      <c r="F758" s="60"/>
      <c r="G758" s="22"/>
      <c r="H758" s="22"/>
      <c r="I758" s="14"/>
      <c r="J758" s="60"/>
      <c r="K758" s="64"/>
      <c r="L758" s="22"/>
      <c r="M758" s="22"/>
      <c r="N758" s="65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</row>
    <row r="759">
      <c r="A759" s="60" t="s">
        <v>1034</v>
      </c>
      <c r="B759" s="63"/>
      <c r="C759" s="64"/>
      <c r="D759" s="22"/>
      <c r="E759" s="60"/>
      <c r="F759" s="60"/>
      <c r="G759" s="22"/>
      <c r="H759" s="22"/>
      <c r="I759" s="14"/>
      <c r="J759" s="60"/>
      <c r="K759" s="64"/>
      <c r="L759" s="22"/>
      <c r="M759" s="22"/>
      <c r="N759" s="65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</row>
    <row r="760">
      <c r="A760" s="60" t="s">
        <v>1034</v>
      </c>
      <c r="B760" s="63"/>
      <c r="C760" s="64"/>
      <c r="D760" s="22"/>
      <c r="E760" s="60"/>
      <c r="F760" s="60"/>
      <c r="G760" s="22"/>
      <c r="H760" s="22"/>
      <c r="I760" s="14"/>
      <c r="J760" s="60"/>
      <c r="K760" s="64"/>
      <c r="L760" s="22"/>
      <c r="M760" s="22"/>
      <c r="N760" s="65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</row>
    <row r="761">
      <c r="A761" s="60" t="s">
        <v>1034</v>
      </c>
      <c r="B761" s="63"/>
      <c r="C761" s="64"/>
      <c r="D761" s="22"/>
      <c r="E761" s="60"/>
      <c r="F761" s="60"/>
      <c r="G761" s="22"/>
      <c r="H761" s="22"/>
      <c r="I761" s="14"/>
      <c r="J761" s="60"/>
      <c r="K761" s="64"/>
      <c r="L761" s="22"/>
      <c r="M761" s="22"/>
      <c r="N761" s="65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</row>
    <row r="762">
      <c r="A762" s="60" t="s">
        <v>1034</v>
      </c>
      <c r="B762" s="63"/>
      <c r="C762" s="64"/>
      <c r="D762" s="22"/>
      <c r="E762" s="60"/>
      <c r="F762" s="60"/>
      <c r="G762" s="22"/>
      <c r="H762" s="22"/>
      <c r="I762" s="14"/>
      <c r="J762" s="60"/>
      <c r="K762" s="64"/>
      <c r="L762" s="22"/>
      <c r="M762" s="22"/>
      <c r="N762" s="65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</row>
    <row r="763">
      <c r="A763" s="60" t="s">
        <v>1034</v>
      </c>
      <c r="B763" s="63"/>
      <c r="C763" s="64"/>
      <c r="D763" s="22"/>
      <c r="E763" s="60"/>
      <c r="F763" s="60"/>
      <c r="G763" s="22"/>
      <c r="H763" s="22"/>
      <c r="I763" s="14"/>
      <c r="J763" s="60"/>
      <c r="K763" s="64"/>
      <c r="L763" s="22"/>
      <c r="M763" s="22"/>
      <c r="N763" s="65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</row>
    <row r="764">
      <c r="A764" s="60" t="s">
        <v>1034</v>
      </c>
      <c r="B764" s="63"/>
      <c r="C764" s="64"/>
      <c r="D764" s="22"/>
      <c r="E764" s="60"/>
      <c r="F764" s="60"/>
      <c r="G764" s="22"/>
      <c r="H764" s="22"/>
      <c r="I764" s="14"/>
      <c r="J764" s="60"/>
      <c r="K764" s="64"/>
      <c r="L764" s="22"/>
      <c r="M764" s="22"/>
      <c r="N764" s="65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</row>
    <row r="765">
      <c r="A765" s="60" t="s">
        <v>1034</v>
      </c>
      <c r="B765" s="63"/>
      <c r="C765" s="64"/>
      <c r="D765" s="22"/>
      <c r="E765" s="60"/>
      <c r="F765" s="60"/>
      <c r="G765" s="22"/>
      <c r="H765" s="22"/>
      <c r="I765" s="14"/>
      <c r="J765" s="60"/>
      <c r="K765" s="64"/>
      <c r="L765" s="22"/>
      <c r="M765" s="22"/>
      <c r="N765" s="65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</row>
    <row r="766">
      <c r="A766" s="60" t="s">
        <v>1034</v>
      </c>
      <c r="B766" s="63"/>
      <c r="C766" s="64"/>
      <c r="D766" s="22"/>
      <c r="E766" s="60"/>
      <c r="F766" s="60"/>
      <c r="G766" s="22"/>
      <c r="H766" s="22"/>
      <c r="I766" s="14"/>
      <c r="J766" s="60"/>
      <c r="K766" s="64"/>
      <c r="L766" s="22"/>
      <c r="M766" s="22"/>
      <c r="N766" s="65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</row>
    <row r="767">
      <c r="A767" s="60" t="s">
        <v>1034</v>
      </c>
      <c r="B767" s="63"/>
      <c r="C767" s="64"/>
      <c r="D767" s="22"/>
      <c r="E767" s="60"/>
      <c r="F767" s="60"/>
      <c r="G767" s="22"/>
      <c r="H767" s="22"/>
      <c r="I767" s="14"/>
      <c r="J767" s="60"/>
      <c r="K767" s="64"/>
      <c r="L767" s="22"/>
      <c r="M767" s="22"/>
      <c r="N767" s="65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</row>
    <row r="768">
      <c r="A768" s="60" t="s">
        <v>1034</v>
      </c>
      <c r="B768" s="63"/>
      <c r="C768" s="64"/>
      <c r="D768" s="22"/>
      <c r="E768" s="60"/>
      <c r="F768" s="60"/>
      <c r="G768" s="22"/>
      <c r="H768" s="22"/>
      <c r="I768" s="14"/>
      <c r="J768" s="60"/>
      <c r="K768" s="64"/>
      <c r="L768" s="22"/>
      <c r="M768" s="22"/>
      <c r="N768" s="65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</row>
    <row r="769">
      <c r="A769" s="60" t="s">
        <v>1034</v>
      </c>
      <c r="B769" s="63"/>
      <c r="C769" s="64"/>
      <c r="D769" s="22"/>
      <c r="E769" s="60"/>
      <c r="F769" s="60"/>
      <c r="G769" s="22"/>
      <c r="H769" s="22"/>
      <c r="I769" s="14"/>
      <c r="J769" s="60"/>
      <c r="K769" s="64"/>
      <c r="L769" s="22"/>
      <c r="M769" s="22"/>
      <c r="N769" s="65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</row>
    <row r="770">
      <c r="A770" s="60" t="s">
        <v>1034</v>
      </c>
      <c r="B770" s="63"/>
      <c r="C770" s="64"/>
      <c r="D770" s="22"/>
      <c r="E770" s="60"/>
      <c r="F770" s="60"/>
      <c r="G770" s="22"/>
      <c r="H770" s="22"/>
      <c r="I770" s="14"/>
      <c r="J770" s="60"/>
      <c r="K770" s="64"/>
      <c r="L770" s="22"/>
      <c r="M770" s="22"/>
      <c r="N770" s="65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</row>
    <row r="771">
      <c r="A771" s="60" t="s">
        <v>1034</v>
      </c>
      <c r="B771" s="63"/>
      <c r="C771" s="64"/>
      <c r="D771" s="22"/>
      <c r="E771" s="60"/>
      <c r="F771" s="60"/>
      <c r="G771" s="22"/>
      <c r="H771" s="22"/>
      <c r="I771" s="14"/>
      <c r="J771" s="60"/>
      <c r="K771" s="64"/>
      <c r="L771" s="22"/>
      <c r="M771" s="22"/>
      <c r="N771" s="65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</row>
    <row r="772">
      <c r="A772" s="60" t="s">
        <v>1034</v>
      </c>
      <c r="B772" s="63"/>
      <c r="C772" s="64"/>
      <c r="D772" s="22"/>
      <c r="E772" s="60"/>
      <c r="F772" s="60"/>
      <c r="G772" s="22"/>
      <c r="H772" s="22"/>
      <c r="I772" s="14"/>
      <c r="J772" s="60"/>
      <c r="K772" s="64"/>
      <c r="L772" s="22"/>
      <c r="M772" s="22"/>
      <c r="N772" s="65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</row>
    <row r="773">
      <c r="A773" s="60" t="s">
        <v>1034</v>
      </c>
      <c r="B773" s="63"/>
      <c r="C773" s="64"/>
      <c r="D773" s="22"/>
      <c r="E773" s="60"/>
      <c r="F773" s="60"/>
      <c r="G773" s="22"/>
      <c r="H773" s="22"/>
      <c r="I773" s="14"/>
      <c r="J773" s="60"/>
      <c r="K773" s="64"/>
      <c r="L773" s="22"/>
      <c r="M773" s="22"/>
      <c r="N773" s="65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</row>
    <row r="774">
      <c r="A774" s="60" t="s">
        <v>1034</v>
      </c>
      <c r="B774" s="63"/>
      <c r="C774" s="64"/>
      <c r="D774" s="22"/>
      <c r="E774" s="60"/>
      <c r="F774" s="60"/>
      <c r="G774" s="22"/>
      <c r="H774" s="22"/>
      <c r="I774" s="14"/>
      <c r="J774" s="60"/>
      <c r="K774" s="64"/>
      <c r="L774" s="22"/>
      <c r="M774" s="22"/>
      <c r="N774" s="65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</row>
    <row r="775">
      <c r="A775" s="60" t="s">
        <v>1034</v>
      </c>
      <c r="B775" s="63"/>
      <c r="C775" s="64"/>
      <c r="D775" s="22"/>
      <c r="E775" s="60"/>
      <c r="F775" s="60"/>
      <c r="G775" s="22"/>
      <c r="H775" s="22"/>
      <c r="I775" s="14"/>
      <c r="J775" s="60"/>
      <c r="K775" s="64"/>
      <c r="L775" s="22"/>
      <c r="M775" s="22"/>
      <c r="N775" s="65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</row>
    <row r="776">
      <c r="A776" s="60" t="s">
        <v>1034</v>
      </c>
      <c r="B776" s="63"/>
      <c r="C776" s="64"/>
      <c r="D776" s="22"/>
      <c r="E776" s="60"/>
      <c r="F776" s="60"/>
      <c r="G776" s="22"/>
      <c r="H776" s="22"/>
      <c r="I776" s="14"/>
      <c r="J776" s="60"/>
      <c r="K776" s="64"/>
      <c r="L776" s="22"/>
      <c r="M776" s="22"/>
      <c r="N776" s="65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</row>
    <row r="777">
      <c r="A777" s="60" t="s">
        <v>1034</v>
      </c>
      <c r="B777" s="63"/>
      <c r="C777" s="64"/>
      <c r="D777" s="22"/>
      <c r="E777" s="60"/>
      <c r="F777" s="60"/>
      <c r="G777" s="22"/>
      <c r="H777" s="22"/>
      <c r="I777" s="14"/>
      <c r="J777" s="60"/>
      <c r="K777" s="64"/>
      <c r="L777" s="22"/>
      <c r="M777" s="22"/>
      <c r="N777" s="65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</row>
    <row r="778">
      <c r="A778" s="60" t="s">
        <v>1034</v>
      </c>
      <c r="B778" s="63"/>
      <c r="C778" s="64"/>
      <c r="D778" s="22"/>
      <c r="E778" s="60"/>
      <c r="F778" s="60"/>
      <c r="G778" s="22"/>
      <c r="H778" s="22"/>
      <c r="I778" s="14"/>
      <c r="J778" s="60"/>
      <c r="K778" s="64"/>
      <c r="L778" s="22"/>
      <c r="M778" s="22"/>
      <c r="N778" s="65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</row>
    <row r="779">
      <c r="A779" s="60" t="s">
        <v>1034</v>
      </c>
      <c r="B779" s="63"/>
      <c r="C779" s="64"/>
      <c r="D779" s="22"/>
      <c r="E779" s="60"/>
      <c r="F779" s="60"/>
      <c r="G779" s="22"/>
      <c r="H779" s="22"/>
      <c r="I779" s="14"/>
      <c r="J779" s="60"/>
      <c r="K779" s="64"/>
      <c r="L779" s="22"/>
      <c r="M779" s="22"/>
      <c r="N779" s="65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</row>
    <row r="780">
      <c r="A780" s="60" t="s">
        <v>1034</v>
      </c>
      <c r="B780" s="63"/>
      <c r="C780" s="64"/>
      <c r="D780" s="22"/>
      <c r="E780" s="60"/>
      <c r="F780" s="60"/>
      <c r="G780" s="22"/>
      <c r="H780" s="22"/>
      <c r="I780" s="14"/>
      <c r="J780" s="60"/>
      <c r="K780" s="64"/>
      <c r="L780" s="22"/>
      <c r="M780" s="22"/>
      <c r="N780" s="65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</row>
    <row r="781">
      <c r="A781" s="60" t="s">
        <v>1034</v>
      </c>
      <c r="B781" s="63"/>
      <c r="C781" s="64"/>
      <c r="D781" s="22"/>
      <c r="E781" s="60"/>
      <c r="F781" s="60"/>
      <c r="G781" s="22"/>
      <c r="H781" s="22"/>
      <c r="I781" s="14"/>
      <c r="J781" s="60"/>
      <c r="K781" s="64"/>
      <c r="L781" s="22"/>
      <c r="M781" s="22"/>
      <c r="N781" s="65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</row>
    <row r="782">
      <c r="A782" s="60" t="s">
        <v>1034</v>
      </c>
      <c r="B782" s="63"/>
      <c r="C782" s="64"/>
      <c r="D782" s="22"/>
      <c r="E782" s="60"/>
      <c r="F782" s="60"/>
      <c r="G782" s="22"/>
      <c r="H782" s="22"/>
      <c r="I782" s="14"/>
      <c r="J782" s="60"/>
      <c r="K782" s="64"/>
      <c r="L782" s="22"/>
      <c r="M782" s="22"/>
      <c r="N782" s="65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</row>
    <row r="783">
      <c r="A783" s="60" t="s">
        <v>1034</v>
      </c>
      <c r="B783" s="63"/>
      <c r="C783" s="64"/>
      <c r="D783" s="22"/>
      <c r="E783" s="60"/>
      <c r="F783" s="60"/>
      <c r="G783" s="22"/>
      <c r="H783" s="22"/>
      <c r="I783" s="14"/>
      <c r="J783" s="60"/>
      <c r="K783" s="64"/>
      <c r="L783" s="22"/>
      <c r="M783" s="22"/>
      <c r="N783" s="65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</row>
    <row r="784">
      <c r="A784" s="60" t="s">
        <v>1034</v>
      </c>
      <c r="B784" s="63"/>
      <c r="C784" s="64"/>
      <c r="D784" s="22"/>
      <c r="E784" s="60"/>
      <c r="F784" s="60"/>
      <c r="G784" s="22"/>
      <c r="H784" s="22"/>
      <c r="I784" s="14"/>
      <c r="J784" s="60"/>
      <c r="K784" s="64"/>
      <c r="L784" s="22"/>
      <c r="M784" s="22"/>
      <c r="N784" s="65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</row>
    <row r="785">
      <c r="A785" s="60" t="s">
        <v>1034</v>
      </c>
      <c r="B785" s="63"/>
      <c r="C785" s="64"/>
      <c r="D785" s="22"/>
      <c r="E785" s="60"/>
      <c r="F785" s="60"/>
      <c r="G785" s="22"/>
      <c r="H785" s="22"/>
      <c r="I785" s="14"/>
      <c r="J785" s="60"/>
      <c r="K785" s="64"/>
      <c r="L785" s="22"/>
      <c r="M785" s="22"/>
      <c r="N785" s="65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</row>
    <row r="786">
      <c r="A786" s="60" t="s">
        <v>1034</v>
      </c>
      <c r="B786" s="63"/>
      <c r="C786" s="64"/>
      <c r="D786" s="22"/>
      <c r="E786" s="60"/>
      <c r="F786" s="60"/>
      <c r="G786" s="22"/>
      <c r="H786" s="22"/>
      <c r="I786" s="14"/>
      <c r="J786" s="60"/>
      <c r="K786" s="64"/>
      <c r="L786" s="22"/>
      <c r="M786" s="22"/>
      <c r="N786" s="65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</row>
    <row r="787">
      <c r="A787" s="60" t="s">
        <v>1034</v>
      </c>
      <c r="B787" s="63"/>
      <c r="C787" s="64"/>
      <c r="D787" s="22"/>
      <c r="E787" s="60"/>
      <c r="F787" s="60"/>
      <c r="G787" s="22"/>
      <c r="H787" s="22"/>
      <c r="I787" s="14"/>
      <c r="J787" s="60"/>
      <c r="K787" s="64"/>
      <c r="L787" s="22"/>
      <c r="M787" s="22"/>
      <c r="N787" s="65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</row>
    <row r="788">
      <c r="A788" s="60" t="s">
        <v>1034</v>
      </c>
      <c r="B788" s="63"/>
      <c r="C788" s="64"/>
      <c r="D788" s="22"/>
      <c r="E788" s="60"/>
      <c r="F788" s="60"/>
      <c r="G788" s="22"/>
      <c r="H788" s="22"/>
      <c r="I788" s="14"/>
      <c r="J788" s="60"/>
      <c r="K788" s="64"/>
      <c r="L788" s="22"/>
      <c r="M788" s="22"/>
      <c r="N788" s="65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</row>
    <row r="789">
      <c r="A789" s="60" t="s">
        <v>1034</v>
      </c>
      <c r="B789" s="63"/>
      <c r="C789" s="64"/>
      <c r="D789" s="22"/>
      <c r="E789" s="60"/>
      <c r="F789" s="60"/>
      <c r="G789" s="22"/>
      <c r="H789" s="22"/>
      <c r="I789" s="14"/>
      <c r="J789" s="60"/>
      <c r="K789" s="64"/>
      <c r="L789" s="22"/>
      <c r="M789" s="22"/>
      <c r="N789" s="65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</row>
    <row r="790">
      <c r="A790" s="60" t="s">
        <v>1034</v>
      </c>
      <c r="B790" s="63"/>
      <c r="C790" s="64"/>
      <c r="D790" s="22"/>
      <c r="E790" s="60"/>
      <c r="F790" s="60"/>
      <c r="G790" s="22"/>
      <c r="H790" s="22"/>
      <c r="I790" s="14"/>
      <c r="J790" s="60"/>
      <c r="K790" s="64"/>
      <c r="L790" s="22"/>
      <c r="M790" s="22"/>
      <c r="N790" s="65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</row>
    <row r="791">
      <c r="A791" s="60" t="s">
        <v>1034</v>
      </c>
      <c r="B791" s="63"/>
      <c r="C791" s="64"/>
      <c r="D791" s="22"/>
      <c r="E791" s="60"/>
      <c r="F791" s="60"/>
      <c r="G791" s="22"/>
      <c r="H791" s="22"/>
      <c r="I791" s="14"/>
      <c r="J791" s="60"/>
      <c r="K791" s="64"/>
      <c r="L791" s="22"/>
      <c r="M791" s="22"/>
      <c r="N791" s="65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</row>
    <row r="792">
      <c r="A792" s="60" t="s">
        <v>1034</v>
      </c>
      <c r="B792" s="63"/>
      <c r="C792" s="64"/>
      <c r="D792" s="22"/>
      <c r="E792" s="60"/>
      <c r="F792" s="60"/>
      <c r="G792" s="22"/>
      <c r="H792" s="22"/>
      <c r="I792" s="14"/>
      <c r="J792" s="60"/>
      <c r="K792" s="64"/>
      <c r="L792" s="22"/>
      <c r="M792" s="22"/>
      <c r="N792" s="65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</row>
    <row r="793">
      <c r="A793" s="60" t="s">
        <v>1034</v>
      </c>
      <c r="B793" s="63"/>
      <c r="C793" s="64"/>
      <c r="D793" s="22"/>
      <c r="E793" s="60"/>
      <c r="F793" s="60"/>
      <c r="G793" s="22"/>
      <c r="H793" s="22"/>
      <c r="I793" s="14"/>
      <c r="J793" s="60"/>
      <c r="K793" s="64"/>
      <c r="L793" s="22"/>
      <c r="M793" s="22"/>
      <c r="N793" s="65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</row>
    <row r="794">
      <c r="A794" s="60" t="s">
        <v>1034</v>
      </c>
      <c r="B794" s="63"/>
      <c r="C794" s="64"/>
      <c r="D794" s="22"/>
      <c r="E794" s="60"/>
      <c r="F794" s="60"/>
      <c r="G794" s="22"/>
      <c r="H794" s="22"/>
      <c r="I794" s="14"/>
      <c r="J794" s="60"/>
      <c r="K794" s="64"/>
      <c r="L794" s="22"/>
      <c r="M794" s="22"/>
      <c r="N794" s="65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</row>
    <row r="795">
      <c r="A795" s="60" t="s">
        <v>1034</v>
      </c>
      <c r="B795" s="63"/>
      <c r="C795" s="64"/>
      <c r="D795" s="22"/>
      <c r="E795" s="60"/>
      <c r="F795" s="60"/>
      <c r="G795" s="22"/>
      <c r="H795" s="22"/>
      <c r="I795" s="14"/>
      <c r="J795" s="60"/>
      <c r="K795" s="64"/>
      <c r="L795" s="22"/>
      <c r="M795" s="22"/>
      <c r="N795" s="65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</row>
    <row r="796">
      <c r="A796" s="60" t="s">
        <v>1034</v>
      </c>
      <c r="B796" s="63"/>
      <c r="C796" s="64"/>
      <c r="D796" s="22"/>
      <c r="E796" s="60"/>
      <c r="F796" s="60"/>
      <c r="G796" s="22"/>
      <c r="H796" s="22"/>
      <c r="I796" s="14"/>
      <c r="J796" s="60"/>
      <c r="K796" s="64"/>
      <c r="L796" s="22"/>
      <c r="M796" s="22"/>
      <c r="N796" s="65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</row>
    <row r="797">
      <c r="A797" s="60" t="s">
        <v>1034</v>
      </c>
      <c r="B797" s="63"/>
      <c r="C797" s="64"/>
      <c r="D797" s="22"/>
      <c r="E797" s="60"/>
      <c r="F797" s="60"/>
      <c r="G797" s="22"/>
      <c r="H797" s="22"/>
      <c r="I797" s="14"/>
      <c r="J797" s="60"/>
      <c r="K797" s="64"/>
      <c r="L797" s="22"/>
      <c r="M797" s="22"/>
      <c r="N797" s="65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</row>
    <row r="798">
      <c r="A798" s="60" t="s">
        <v>1034</v>
      </c>
      <c r="B798" s="63"/>
      <c r="C798" s="64"/>
      <c r="D798" s="22"/>
      <c r="E798" s="60"/>
      <c r="F798" s="60"/>
      <c r="G798" s="22"/>
      <c r="H798" s="22"/>
      <c r="I798" s="14"/>
      <c r="J798" s="60"/>
      <c r="K798" s="64"/>
      <c r="L798" s="22"/>
      <c r="M798" s="22"/>
      <c r="N798" s="65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</row>
    <row r="799">
      <c r="A799" s="60" t="s">
        <v>1034</v>
      </c>
      <c r="B799" s="63"/>
      <c r="C799" s="64"/>
      <c r="D799" s="22"/>
      <c r="E799" s="60"/>
      <c r="F799" s="60"/>
      <c r="G799" s="22"/>
      <c r="H799" s="22"/>
      <c r="I799" s="14"/>
      <c r="J799" s="60"/>
      <c r="K799" s="64"/>
      <c r="L799" s="22"/>
      <c r="M799" s="22"/>
      <c r="N799" s="65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</row>
    <row r="800">
      <c r="A800" s="60" t="s">
        <v>1034</v>
      </c>
      <c r="B800" s="63"/>
      <c r="C800" s="64"/>
      <c r="D800" s="22"/>
      <c r="E800" s="60"/>
      <c r="F800" s="60"/>
      <c r="G800" s="22"/>
      <c r="H800" s="22"/>
      <c r="I800" s="14"/>
      <c r="J800" s="60"/>
      <c r="K800" s="64"/>
      <c r="L800" s="22"/>
      <c r="M800" s="22"/>
      <c r="N800" s="65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</row>
    <row r="801">
      <c r="A801" s="60" t="s">
        <v>1034</v>
      </c>
      <c r="B801" s="63"/>
      <c r="C801" s="64"/>
      <c r="D801" s="22"/>
      <c r="E801" s="60"/>
      <c r="F801" s="60"/>
      <c r="G801" s="22"/>
      <c r="H801" s="22"/>
      <c r="I801" s="14"/>
      <c r="J801" s="60"/>
      <c r="K801" s="64"/>
      <c r="L801" s="22"/>
      <c r="M801" s="22"/>
      <c r="N801" s="65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</row>
    <row r="802">
      <c r="A802" s="60" t="s">
        <v>1034</v>
      </c>
      <c r="B802" s="63"/>
      <c r="C802" s="64"/>
      <c r="D802" s="22"/>
      <c r="E802" s="60"/>
      <c r="F802" s="60"/>
      <c r="G802" s="22"/>
      <c r="H802" s="22"/>
      <c r="I802" s="14"/>
      <c r="J802" s="60"/>
      <c r="K802" s="64"/>
      <c r="L802" s="22"/>
      <c r="M802" s="22"/>
      <c r="N802" s="65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</row>
    <row r="803">
      <c r="A803" s="60" t="s">
        <v>1034</v>
      </c>
      <c r="B803" s="63"/>
      <c r="C803" s="64"/>
      <c r="D803" s="22"/>
      <c r="E803" s="60"/>
      <c r="F803" s="60"/>
      <c r="G803" s="22"/>
      <c r="H803" s="22"/>
      <c r="I803" s="14"/>
      <c r="J803" s="60"/>
      <c r="K803" s="64"/>
      <c r="L803" s="22"/>
      <c r="M803" s="22"/>
      <c r="N803" s="65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</row>
    <row r="804">
      <c r="A804" s="60" t="s">
        <v>1034</v>
      </c>
      <c r="B804" s="63"/>
      <c r="C804" s="64"/>
      <c r="D804" s="22"/>
      <c r="E804" s="60"/>
      <c r="F804" s="60"/>
      <c r="G804" s="22"/>
      <c r="H804" s="22"/>
      <c r="I804" s="14"/>
      <c r="J804" s="60"/>
      <c r="K804" s="64"/>
      <c r="L804" s="22"/>
      <c r="M804" s="22"/>
      <c r="N804" s="65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</row>
    <row r="805">
      <c r="A805" s="60" t="s">
        <v>1034</v>
      </c>
      <c r="B805" s="63"/>
      <c r="C805" s="64"/>
      <c r="D805" s="22"/>
      <c r="E805" s="60"/>
      <c r="F805" s="60"/>
      <c r="G805" s="22"/>
      <c r="H805" s="22"/>
      <c r="I805" s="14"/>
      <c r="J805" s="60"/>
      <c r="K805" s="64"/>
      <c r="L805" s="22"/>
      <c r="M805" s="22"/>
      <c r="N805" s="65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</row>
    <row r="806">
      <c r="A806" s="60" t="s">
        <v>1034</v>
      </c>
      <c r="B806" s="63"/>
      <c r="C806" s="64"/>
      <c r="D806" s="22"/>
      <c r="E806" s="60"/>
      <c r="F806" s="60"/>
      <c r="G806" s="22"/>
      <c r="H806" s="22"/>
      <c r="I806" s="14"/>
      <c r="J806" s="60"/>
      <c r="K806" s="64"/>
      <c r="L806" s="22"/>
      <c r="M806" s="22"/>
      <c r="N806" s="65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</row>
    <row r="807">
      <c r="A807" s="60" t="s">
        <v>1034</v>
      </c>
      <c r="B807" s="63"/>
      <c r="C807" s="64"/>
      <c r="D807" s="22"/>
      <c r="E807" s="60"/>
      <c r="F807" s="60"/>
      <c r="G807" s="22"/>
      <c r="H807" s="22"/>
      <c r="I807" s="14"/>
      <c r="J807" s="60"/>
      <c r="K807" s="64"/>
      <c r="L807" s="22"/>
      <c r="M807" s="22"/>
      <c r="N807" s="65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</row>
    <row r="808">
      <c r="A808" s="60" t="s">
        <v>1034</v>
      </c>
      <c r="B808" s="63"/>
      <c r="C808" s="64"/>
      <c r="D808" s="22"/>
      <c r="E808" s="60"/>
      <c r="F808" s="60"/>
      <c r="G808" s="22"/>
      <c r="H808" s="22"/>
      <c r="I808" s="14"/>
      <c r="J808" s="60"/>
      <c r="K808" s="64"/>
      <c r="L808" s="22"/>
      <c r="M808" s="22"/>
      <c r="N808" s="65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</row>
    <row r="809">
      <c r="A809" s="60" t="s">
        <v>1034</v>
      </c>
      <c r="B809" s="63"/>
      <c r="C809" s="64"/>
      <c r="D809" s="22"/>
      <c r="E809" s="60"/>
      <c r="F809" s="60"/>
      <c r="G809" s="22"/>
      <c r="H809" s="22"/>
      <c r="I809" s="14"/>
      <c r="J809" s="60"/>
      <c r="K809" s="64"/>
      <c r="L809" s="22"/>
      <c r="M809" s="22"/>
      <c r="N809" s="65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</row>
    <row r="810">
      <c r="A810" s="60" t="s">
        <v>1034</v>
      </c>
      <c r="B810" s="63"/>
      <c r="C810" s="64"/>
      <c r="D810" s="22"/>
      <c r="E810" s="60"/>
      <c r="F810" s="60"/>
      <c r="G810" s="22"/>
      <c r="H810" s="22"/>
      <c r="I810" s="14"/>
      <c r="J810" s="60"/>
      <c r="K810" s="64"/>
      <c r="L810" s="22"/>
      <c r="M810" s="22"/>
      <c r="N810" s="65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</row>
    <row r="811">
      <c r="A811" s="60" t="s">
        <v>1034</v>
      </c>
      <c r="B811" s="63"/>
      <c r="C811" s="64"/>
      <c r="D811" s="22"/>
      <c r="E811" s="60"/>
      <c r="F811" s="60"/>
      <c r="G811" s="22"/>
      <c r="H811" s="22"/>
      <c r="I811" s="14"/>
      <c r="J811" s="60"/>
      <c r="K811" s="64"/>
      <c r="L811" s="22"/>
      <c r="M811" s="22"/>
      <c r="N811" s="65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</row>
    <row r="812">
      <c r="A812" s="60" t="s">
        <v>1034</v>
      </c>
      <c r="B812" s="63"/>
      <c r="C812" s="64"/>
      <c r="D812" s="22"/>
      <c r="E812" s="60"/>
      <c r="F812" s="60"/>
      <c r="G812" s="22"/>
      <c r="H812" s="22"/>
      <c r="I812" s="14"/>
      <c r="J812" s="60"/>
      <c r="K812" s="64"/>
      <c r="L812" s="22"/>
      <c r="M812" s="22"/>
      <c r="N812" s="65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</row>
    <row r="813">
      <c r="A813" s="60" t="s">
        <v>1034</v>
      </c>
      <c r="B813" s="63"/>
      <c r="C813" s="64"/>
      <c r="D813" s="22"/>
      <c r="E813" s="60"/>
      <c r="F813" s="60"/>
      <c r="G813" s="22"/>
      <c r="H813" s="22"/>
      <c r="I813" s="14"/>
      <c r="J813" s="60"/>
      <c r="K813" s="64"/>
      <c r="L813" s="22"/>
      <c r="M813" s="22"/>
      <c r="N813" s="65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</row>
    <row r="814">
      <c r="A814" s="60" t="s">
        <v>1034</v>
      </c>
      <c r="B814" s="63"/>
      <c r="C814" s="64"/>
      <c r="D814" s="22"/>
      <c r="E814" s="60"/>
      <c r="F814" s="60"/>
      <c r="G814" s="22"/>
      <c r="H814" s="22"/>
      <c r="I814" s="14"/>
      <c r="J814" s="60"/>
      <c r="K814" s="64"/>
      <c r="L814" s="22"/>
      <c r="M814" s="22"/>
      <c r="N814" s="65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</row>
    <row r="815">
      <c r="A815" s="60" t="s">
        <v>1034</v>
      </c>
      <c r="B815" s="63"/>
      <c r="C815" s="64"/>
      <c r="D815" s="22"/>
      <c r="E815" s="60"/>
      <c r="F815" s="60"/>
      <c r="G815" s="22"/>
      <c r="H815" s="22"/>
      <c r="I815" s="14"/>
      <c r="J815" s="60"/>
      <c r="K815" s="64"/>
      <c r="L815" s="22"/>
      <c r="M815" s="22"/>
      <c r="N815" s="65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</row>
    <row r="816">
      <c r="A816" s="60" t="s">
        <v>1034</v>
      </c>
      <c r="B816" s="63"/>
      <c r="C816" s="64"/>
      <c r="D816" s="22"/>
      <c r="E816" s="60"/>
      <c r="F816" s="60"/>
      <c r="G816" s="22"/>
      <c r="H816" s="22"/>
      <c r="I816" s="14"/>
      <c r="J816" s="60"/>
      <c r="K816" s="64"/>
      <c r="L816" s="22"/>
      <c r="M816" s="22"/>
      <c r="N816" s="65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</row>
    <row r="817">
      <c r="A817" s="60" t="s">
        <v>1034</v>
      </c>
      <c r="B817" s="63"/>
      <c r="C817" s="64"/>
      <c r="D817" s="22"/>
      <c r="E817" s="60"/>
      <c r="F817" s="60"/>
      <c r="G817" s="22"/>
      <c r="H817" s="22"/>
      <c r="I817" s="14"/>
      <c r="J817" s="60"/>
      <c r="K817" s="64"/>
      <c r="L817" s="22"/>
      <c r="M817" s="22"/>
      <c r="N817" s="65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</row>
    <row r="818">
      <c r="A818" s="60" t="s">
        <v>1034</v>
      </c>
      <c r="B818" s="63"/>
      <c r="C818" s="64"/>
      <c r="D818" s="22"/>
      <c r="E818" s="60"/>
      <c r="F818" s="60"/>
      <c r="G818" s="22"/>
      <c r="H818" s="22"/>
      <c r="I818" s="14"/>
      <c r="J818" s="60"/>
      <c r="K818" s="64"/>
      <c r="L818" s="22"/>
      <c r="M818" s="22"/>
      <c r="N818" s="65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</row>
    <row r="819">
      <c r="A819" s="60" t="s">
        <v>1034</v>
      </c>
      <c r="B819" s="63"/>
      <c r="C819" s="64"/>
      <c r="D819" s="22"/>
      <c r="E819" s="60"/>
      <c r="F819" s="60"/>
      <c r="G819" s="22"/>
      <c r="H819" s="22"/>
      <c r="I819" s="14"/>
      <c r="J819" s="60"/>
      <c r="K819" s="64"/>
      <c r="L819" s="22"/>
      <c r="M819" s="22"/>
      <c r="N819" s="65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</row>
    <row r="820">
      <c r="A820" s="60" t="s">
        <v>1034</v>
      </c>
      <c r="B820" s="63"/>
      <c r="C820" s="64"/>
      <c r="D820" s="22"/>
      <c r="E820" s="60"/>
      <c r="F820" s="60"/>
      <c r="G820" s="22"/>
      <c r="H820" s="22"/>
      <c r="I820" s="14"/>
      <c r="J820" s="60"/>
      <c r="K820" s="64"/>
      <c r="L820" s="22"/>
      <c r="M820" s="22"/>
      <c r="N820" s="65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</row>
    <row r="821">
      <c r="A821" s="60" t="s">
        <v>1034</v>
      </c>
      <c r="B821" s="63"/>
      <c r="C821" s="64"/>
      <c r="D821" s="22"/>
      <c r="E821" s="60"/>
      <c r="F821" s="60"/>
      <c r="G821" s="22"/>
      <c r="H821" s="22"/>
      <c r="I821" s="14"/>
      <c r="J821" s="60"/>
      <c r="K821" s="64"/>
      <c r="L821" s="22"/>
      <c r="M821" s="22"/>
      <c r="N821" s="65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</row>
    <row r="822">
      <c r="A822" s="60" t="s">
        <v>1034</v>
      </c>
      <c r="B822" s="63"/>
      <c r="C822" s="64"/>
      <c r="D822" s="22"/>
      <c r="E822" s="60"/>
      <c r="F822" s="60"/>
      <c r="G822" s="22"/>
      <c r="H822" s="22"/>
      <c r="I822" s="14"/>
      <c r="J822" s="60"/>
      <c r="K822" s="64"/>
      <c r="L822" s="22"/>
      <c r="M822" s="22"/>
      <c r="N822" s="65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</row>
    <row r="823">
      <c r="A823" s="60" t="s">
        <v>1034</v>
      </c>
      <c r="B823" s="63"/>
      <c r="C823" s="64"/>
      <c r="D823" s="22"/>
      <c r="E823" s="60"/>
      <c r="F823" s="60"/>
      <c r="G823" s="22"/>
      <c r="H823" s="22"/>
      <c r="I823" s="14"/>
      <c r="J823" s="60"/>
      <c r="K823" s="64"/>
      <c r="L823" s="22"/>
      <c r="M823" s="22"/>
      <c r="N823" s="65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</row>
    <row r="824">
      <c r="A824" s="60" t="s">
        <v>1034</v>
      </c>
      <c r="B824" s="63"/>
      <c r="C824" s="64"/>
      <c r="D824" s="22"/>
      <c r="E824" s="60"/>
      <c r="F824" s="60"/>
      <c r="G824" s="22"/>
      <c r="H824" s="22"/>
      <c r="I824" s="14"/>
      <c r="J824" s="60"/>
      <c r="K824" s="64"/>
      <c r="L824" s="22"/>
      <c r="M824" s="22"/>
      <c r="N824" s="65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</row>
    <row r="825">
      <c r="A825" s="60" t="s">
        <v>1034</v>
      </c>
      <c r="B825" s="63"/>
      <c r="C825" s="64"/>
      <c r="D825" s="22"/>
      <c r="E825" s="60"/>
      <c r="F825" s="60"/>
      <c r="G825" s="22"/>
      <c r="H825" s="22"/>
      <c r="I825" s="14"/>
      <c r="J825" s="60"/>
      <c r="K825" s="64"/>
      <c r="L825" s="22"/>
      <c r="M825" s="22"/>
      <c r="N825" s="65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</row>
    <row r="826">
      <c r="A826" s="60" t="s">
        <v>1034</v>
      </c>
      <c r="B826" s="63"/>
      <c r="C826" s="64"/>
      <c r="D826" s="22"/>
      <c r="E826" s="60"/>
      <c r="F826" s="60"/>
      <c r="G826" s="22"/>
      <c r="H826" s="22"/>
      <c r="I826" s="14"/>
      <c r="J826" s="60"/>
      <c r="K826" s="64"/>
      <c r="L826" s="22"/>
      <c r="M826" s="22"/>
      <c r="N826" s="65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</row>
    <row r="827">
      <c r="A827" s="60" t="s">
        <v>1034</v>
      </c>
      <c r="B827" s="63"/>
      <c r="C827" s="64"/>
      <c r="D827" s="22"/>
      <c r="E827" s="60"/>
      <c r="F827" s="60"/>
      <c r="G827" s="22"/>
      <c r="H827" s="22"/>
      <c r="I827" s="14"/>
      <c r="J827" s="60"/>
      <c r="K827" s="64"/>
      <c r="L827" s="22"/>
      <c r="M827" s="22"/>
      <c r="N827" s="65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</row>
    <row r="828">
      <c r="A828" s="60" t="s">
        <v>1034</v>
      </c>
      <c r="B828" s="63"/>
      <c r="C828" s="64"/>
      <c r="D828" s="22"/>
      <c r="E828" s="60"/>
      <c r="F828" s="60"/>
      <c r="G828" s="22"/>
      <c r="H828" s="22"/>
      <c r="I828" s="14"/>
      <c r="J828" s="60"/>
      <c r="K828" s="64"/>
      <c r="L828" s="22"/>
      <c r="M828" s="22"/>
      <c r="N828" s="65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</row>
    <row r="829">
      <c r="A829" s="60" t="s">
        <v>1034</v>
      </c>
      <c r="B829" s="63"/>
      <c r="C829" s="64"/>
      <c r="D829" s="22"/>
      <c r="E829" s="60"/>
      <c r="F829" s="60"/>
      <c r="G829" s="22"/>
      <c r="H829" s="22"/>
      <c r="I829" s="14"/>
      <c r="J829" s="60"/>
      <c r="K829" s="64"/>
      <c r="L829" s="22"/>
      <c r="M829" s="22"/>
      <c r="N829" s="65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</row>
    <row r="830">
      <c r="A830" s="60" t="s">
        <v>1034</v>
      </c>
      <c r="B830" s="63"/>
      <c r="C830" s="64"/>
      <c r="D830" s="22"/>
      <c r="E830" s="60"/>
      <c r="F830" s="60"/>
      <c r="G830" s="22"/>
      <c r="H830" s="22"/>
      <c r="I830" s="14"/>
      <c r="J830" s="60"/>
      <c r="K830" s="64"/>
      <c r="L830" s="22"/>
      <c r="M830" s="22"/>
      <c r="N830" s="65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</row>
    <row r="831">
      <c r="A831" s="60" t="s">
        <v>1034</v>
      </c>
      <c r="B831" s="63"/>
      <c r="C831" s="64"/>
      <c r="D831" s="22"/>
      <c r="E831" s="60"/>
      <c r="F831" s="60"/>
      <c r="G831" s="22"/>
      <c r="H831" s="22"/>
      <c r="I831" s="14"/>
      <c r="J831" s="60"/>
      <c r="K831" s="64"/>
      <c r="L831" s="22"/>
      <c r="M831" s="22"/>
      <c r="N831" s="65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</row>
    <row r="832">
      <c r="A832" s="60" t="s">
        <v>1034</v>
      </c>
      <c r="B832" s="63"/>
      <c r="C832" s="64"/>
      <c r="D832" s="22"/>
      <c r="E832" s="60"/>
      <c r="F832" s="60"/>
      <c r="G832" s="22"/>
      <c r="H832" s="22"/>
      <c r="I832" s="14"/>
      <c r="J832" s="60"/>
      <c r="K832" s="64"/>
      <c r="L832" s="22"/>
      <c r="M832" s="22"/>
      <c r="N832" s="65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</row>
    <row r="833">
      <c r="A833" s="60" t="s">
        <v>1034</v>
      </c>
      <c r="B833" s="63"/>
      <c r="C833" s="64"/>
      <c r="D833" s="22"/>
      <c r="E833" s="60"/>
      <c r="F833" s="60"/>
      <c r="G833" s="22"/>
      <c r="H833" s="22"/>
      <c r="I833" s="14"/>
      <c r="J833" s="60"/>
      <c r="K833" s="64"/>
      <c r="L833" s="22"/>
      <c r="M833" s="22"/>
      <c r="N833" s="65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</row>
    <row r="834">
      <c r="A834" s="60" t="s">
        <v>1034</v>
      </c>
      <c r="B834" s="63"/>
      <c r="C834" s="64"/>
      <c r="D834" s="22"/>
      <c r="E834" s="60"/>
      <c r="F834" s="60"/>
      <c r="G834" s="22"/>
      <c r="H834" s="22"/>
      <c r="I834" s="14"/>
      <c r="J834" s="60"/>
      <c r="K834" s="64"/>
      <c r="L834" s="22"/>
      <c r="M834" s="22"/>
      <c r="N834" s="65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</row>
    <row r="835">
      <c r="A835" s="60" t="s">
        <v>1034</v>
      </c>
      <c r="B835" s="63"/>
      <c r="C835" s="64"/>
      <c r="D835" s="22"/>
      <c r="E835" s="60"/>
      <c r="F835" s="60"/>
      <c r="G835" s="22"/>
      <c r="H835" s="22"/>
      <c r="I835" s="14"/>
      <c r="J835" s="60"/>
      <c r="K835" s="64"/>
      <c r="L835" s="22"/>
      <c r="M835" s="22"/>
      <c r="N835" s="65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</row>
    <row r="836">
      <c r="A836" s="60" t="s">
        <v>1034</v>
      </c>
      <c r="B836" s="63"/>
      <c r="C836" s="64"/>
      <c r="D836" s="22"/>
      <c r="E836" s="60"/>
      <c r="F836" s="60"/>
      <c r="G836" s="22"/>
      <c r="H836" s="22"/>
      <c r="I836" s="14"/>
      <c r="J836" s="60"/>
      <c r="K836" s="64"/>
      <c r="L836" s="22"/>
      <c r="M836" s="22"/>
      <c r="N836" s="65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</row>
    <row r="837">
      <c r="A837" s="60" t="s">
        <v>1034</v>
      </c>
      <c r="B837" s="63"/>
      <c r="C837" s="64"/>
      <c r="D837" s="22"/>
      <c r="E837" s="60"/>
      <c r="F837" s="60"/>
      <c r="G837" s="22"/>
      <c r="H837" s="22"/>
      <c r="I837" s="14"/>
      <c r="J837" s="60"/>
      <c r="K837" s="64"/>
      <c r="L837" s="22"/>
      <c r="M837" s="22"/>
      <c r="N837" s="65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</row>
    <row r="838">
      <c r="A838" s="60" t="s">
        <v>1034</v>
      </c>
      <c r="B838" s="63"/>
      <c r="C838" s="64"/>
      <c r="D838" s="22"/>
      <c r="E838" s="60"/>
      <c r="F838" s="60"/>
      <c r="G838" s="22"/>
      <c r="H838" s="22"/>
      <c r="I838" s="14"/>
      <c r="J838" s="60"/>
      <c r="K838" s="64"/>
      <c r="L838" s="22"/>
      <c r="M838" s="22"/>
      <c r="N838" s="65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</row>
    <row r="839">
      <c r="A839" s="60" t="s">
        <v>1034</v>
      </c>
      <c r="B839" s="63"/>
      <c r="C839" s="64"/>
      <c r="D839" s="22"/>
      <c r="E839" s="60"/>
      <c r="F839" s="60"/>
      <c r="G839" s="22"/>
      <c r="H839" s="22"/>
      <c r="I839" s="14"/>
      <c r="J839" s="60"/>
      <c r="K839" s="64"/>
      <c r="L839" s="22"/>
      <c r="M839" s="22"/>
      <c r="N839" s="65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</row>
    <row r="840">
      <c r="A840" s="60" t="s">
        <v>1034</v>
      </c>
      <c r="B840" s="63"/>
      <c r="C840" s="64"/>
      <c r="D840" s="22"/>
      <c r="E840" s="60"/>
      <c r="F840" s="60"/>
      <c r="G840" s="22"/>
      <c r="H840" s="22"/>
      <c r="I840" s="14"/>
      <c r="J840" s="60"/>
      <c r="K840" s="64"/>
      <c r="L840" s="22"/>
      <c r="M840" s="22"/>
      <c r="N840" s="65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</row>
    <row r="841">
      <c r="A841" s="60" t="s">
        <v>1034</v>
      </c>
      <c r="B841" s="63"/>
      <c r="C841" s="64"/>
      <c r="D841" s="22"/>
      <c r="E841" s="60"/>
      <c r="F841" s="60"/>
      <c r="G841" s="22"/>
      <c r="H841" s="22"/>
      <c r="I841" s="14"/>
      <c r="J841" s="60"/>
      <c r="K841" s="64"/>
      <c r="L841" s="22"/>
      <c r="M841" s="22"/>
      <c r="N841" s="65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</row>
    <row r="842">
      <c r="A842" s="60" t="s">
        <v>1034</v>
      </c>
      <c r="B842" s="63"/>
      <c r="C842" s="64"/>
      <c r="D842" s="22"/>
      <c r="E842" s="60"/>
      <c r="F842" s="60"/>
      <c r="G842" s="22"/>
      <c r="H842" s="22"/>
      <c r="I842" s="14"/>
      <c r="J842" s="60"/>
      <c r="K842" s="64"/>
      <c r="L842" s="22"/>
      <c r="M842" s="22"/>
      <c r="N842" s="65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</row>
    <row r="843">
      <c r="A843" s="60" t="s">
        <v>1034</v>
      </c>
      <c r="B843" s="63"/>
      <c r="C843" s="64"/>
      <c r="D843" s="22"/>
      <c r="E843" s="60"/>
      <c r="F843" s="60"/>
      <c r="G843" s="22"/>
      <c r="H843" s="22"/>
      <c r="I843" s="14"/>
      <c r="J843" s="60"/>
      <c r="K843" s="64"/>
      <c r="L843" s="22"/>
      <c r="M843" s="22"/>
      <c r="N843" s="65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</row>
    <row r="844">
      <c r="A844" s="60" t="s">
        <v>1034</v>
      </c>
      <c r="B844" s="63"/>
      <c r="C844" s="64"/>
      <c r="D844" s="22"/>
      <c r="E844" s="60"/>
      <c r="F844" s="60"/>
      <c r="G844" s="22"/>
      <c r="H844" s="22"/>
      <c r="I844" s="14"/>
      <c r="J844" s="60"/>
      <c r="K844" s="64"/>
      <c r="L844" s="22"/>
      <c r="M844" s="22"/>
      <c r="N844" s="65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</row>
    <row r="845">
      <c r="A845" s="60" t="s">
        <v>1034</v>
      </c>
      <c r="B845" s="63"/>
      <c r="C845" s="64"/>
      <c r="D845" s="22"/>
      <c r="E845" s="60"/>
      <c r="F845" s="60"/>
      <c r="G845" s="22"/>
      <c r="H845" s="22"/>
      <c r="I845" s="14"/>
      <c r="J845" s="60"/>
      <c r="K845" s="64"/>
      <c r="L845" s="22"/>
      <c r="M845" s="22"/>
      <c r="N845" s="65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</row>
    <row r="846">
      <c r="A846" s="60" t="s">
        <v>1034</v>
      </c>
      <c r="B846" s="63"/>
      <c r="C846" s="64"/>
      <c r="D846" s="22"/>
      <c r="E846" s="60"/>
      <c r="F846" s="60"/>
      <c r="G846" s="22"/>
      <c r="H846" s="22"/>
      <c r="I846" s="14"/>
      <c r="J846" s="60"/>
      <c r="K846" s="64"/>
      <c r="L846" s="22"/>
      <c r="M846" s="22"/>
      <c r="N846" s="65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</row>
    <row r="847">
      <c r="A847" s="60" t="s">
        <v>1034</v>
      </c>
      <c r="B847" s="63"/>
      <c r="C847" s="64"/>
      <c r="D847" s="22"/>
      <c r="E847" s="60"/>
      <c r="F847" s="60"/>
      <c r="G847" s="22"/>
      <c r="H847" s="22"/>
      <c r="I847" s="14"/>
      <c r="J847" s="60"/>
      <c r="K847" s="64"/>
      <c r="L847" s="22"/>
      <c r="M847" s="22"/>
      <c r="N847" s="65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</row>
    <row r="848">
      <c r="A848" s="60" t="s">
        <v>1034</v>
      </c>
      <c r="B848" s="63"/>
      <c r="C848" s="64"/>
      <c r="D848" s="22"/>
      <c r="E848" s="60"/>
      <c r="F848" s="60"/>
      <c r="G848" s="22"/>
      <c r="H848" s="22"/>
      <c r="I848" s="14"/>
      <c r="J848" s="60"/>
      <c r="K848" s="64"/>
      <c r="L848" s="22"/>
      <c r="M848" s="22"/>
      <c r="N848" s="65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</row>
    <row r="849">
      <c r="A849" s="60" t="s">
        <v>1034</v>
      </c>
      <c r="B849" s="63"/>
      <c r="C849" s="64"/>
      <c r="D849" s="22"/>
      <c r="E849" s="60"/>
      <c r="F849" s="60"/>
      <c r="G849" s="22"/>
      <c r="H849" s="22"/>
      <c r="I849" s="14"/>
      <c r="J849" s="60"/>
      <c r="K849" s="64"/>
      <c r="L849" s="22"/>
      <c r="M849" s="22"/>
      <c r="N849" s="65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</row>
    <row r="850">
      <c r="A850" s="60" t="s">
        <v>1034</v>
      </c>
      <c r="B850" s="63"/>
      <c r="C850" s="64"/>
      <c r="D850" s="22"/>
      <c r="E850" s="60"/>
      <c r="F850" s="60"/>
      <c r="G850" s="22"/>
      <c r="H850" s="22"/>
      <c r="I850" s="14"/>
      <c r="J850" s="60"/>
      <c r="K850" s="64"/>
      <c r="L850" s="22"/>
      <c r="M850" s="22"/>
      <c r="N850" s="65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</row>
    <row r="851">
      <c r="A851" s="60" t="s">
        <v>1034</v>
      </c>
      <c r="B851" s="63"/>
      <c r="C851" s="64"/>
      <c r="D851" s="22"/>
      <c r="E851" s="60"/>
      <c r="F851" s="60"/>
      <c r="G851" s="22"/>
      <c r="H851" s="22"/>
      <c r="I851" s="14"/>
      <c r="J851" s="60"/>
      <c r="K851" s="64"/>
      <c r="L851" s="22"/>
      <c r="M851" s="22"/>
      <c r="N851" s="65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</row>
    <row r="852">
      <c r="A852" s="60" t="s">
        <v>1034</v>
      </c>
      <c r="B852" s="63"/>
      <c r="C852" s="64"/>
      <c r="D852" s="22"/>
      <c r="E852" s="60"/>
      <c r="F852" s="60"/>
      <c r="G852" s="22"/>
      <c r="H852" s="22"/>
      <c r="I852" s="14"/>
      <c r="J852" s="60"/>
      <c r="K852" s="64"/>
      <c r="L852" s="22"/>
      <c r="M852" s="22"/>
      <c r="N852" s="65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</row>
    <row r="853">
      <c r="A853" s="60" t="s">
        <v>1034</v>
      </c>
      <c r="B853" s="63"/>
      <c r="C853" s="64"/>
      <c r="D853" s="22"/>
      <c r="E853" s="60"/>
      <c r="F853" s="60"/>
      <c r="G853" s="22"/>
      <c r="H853" s="22"/>
      <c r="I853" s="14"/>
      <c r="J853" s="60"/>
      <c r="K853" s="64"/>
      <c r="L853" s="22"/>
      <c r="M853" s="22"/>
      <c r="N853" s="65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</row>
    <row r="854">
      <c r="A854" s="60" t="s">
        <v>1034</v>
      </c>
      <c r="B854" s="63"/>
      <c r="C854" s="64"/>
      <c r="D854" s="22"/>
      <c r="E854" s="60"/>
      <c r="F854" s="60"/>
      <c r="G854" s="22"/>
      <c r="H854" s="22"/>
      <c r="I854" s="14"/>
      <c r="J854" s="60"/>
      <c r="K854" s="64"/>
      <c r="L854" s="22"/>
      <c r="M854" s="22"/>
      <c r="N854" s="65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</row>
    <row r="855">
      <c r="A855" s="60" t="s">
        <v>1034</v>
      </c>
      <c r="B855" s="63"/>
      <c r="C855" s="64"/>
      <c r="D855" s="22"/>
      <c r="E855" s="60"/>
      <c r="F855" s="60"/>
      <c r="G855" s="22"/>
      <c r="H855" s="22"/>
      <c r="I855" s="14"/>
      <c r="J855" s="60"/>
      <c r="K855" s="64"/>
      <c r="L855" s="22"/>
      <c r="M855" s="22"/>
      <c r="N855" s="65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</row>
    <row r="856">
      <c r="A856" s="60" t="s">
        <v>1034</v>
      </c>
      <c r="B856" s="63"/>
      <c r="C856" s="64"/>
      <c r="D856" s="22"/>
      <c r="E856" s="60"/>
      <c r="F856" s="60"/>
      <c r="G856" s="22"/>
      <c r="H856" s="22"/>
      <c r="I856" s="14"/>
      <c r="J856" s="60"/>
      <c r="K856" s="64"/>
      <c r="L856" s="22"/>
      <c r="M856" s="22"/>
      <c r="N856" s="65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</row>
    <row r="857">
      <c r="A857" s="60" t="s">
        <v>1034</v>
      </c>
      <c r="B857" s="63"/>
      <c r="C857" s="64"/>
      <c r="D857" s="22"/>
      <c r="E857" s="60"/>
      <c r="F857" s="60"/>
      <c r="G857" s="22"/>
      <c r="H857" s="22"/>
      <c r="I857" s="14"/>
      <c r="J857" s="60"/>
      <c r="K857" s="64"/>
      <c r="L857" s="22"/>
      <c r="M857" s="22"/>
      <c r="N857" s="65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</row>
    <row r="858">
      <c r="A858" s="60" t="s">
        <v>1034</v>
      </c>
      <c r="B858" s="63"/>
      <c r="C858" s="64"/>
      <c r="D858" s="22"/>
      <c r="E858" s="60"/>
      <c r="F858" s="60"/>
      <c r="G858" s="22"/>
      <c r="H858" s="22"/>
      <c r="I858" s="14"/>
      <c r="J858" s="60"/>
      <c r="K858" s="64"/>
      <c r="L858" s="22"/>
      <c r="M858" s="22"/>
      <c r="N858" s="65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</row>
    <row r="859">
      <c r="A859" s="60" t="s">
        <v>1034</v>
      </c>
      <c r="B859" s="63"/>
      <c r="C859" s="64"/>
      <c r="D859" s="22"/>
      <c r="E859" s="60"/>
      <c r="F859" s="60"/>
      <c r="G859" s="22"/>
      <c r="H859" s="22"/>
      <c r="I859" s="14"/>
      <c r="J859" s="60"/>
      <c r="K859" s="64"/>
      <c r="L859" s="22"/>
      <c r="M859" s="22"/>
      <c r="N859" s="65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</row>
    <row r="860">
      <c r="A860" s="60" t="s">
        <v>1034</v>
      </c>
      <c r="B860" s="63"/>
      <c r="C860" s="64"/>
      <c r="D860" s="22"/>
      <c r="E860" s="60"/>
      <c r="F860" s="60"/>
      <c r="G860" s="22"/>
      <c r="H860" s="22"/>
      <c r="I860" s="14"/>
      <c r="J860" s="60"/>
      <c r="K860" s="64"/>
      <c r="L860" s="22"/>
      <c r="M860" s="22"/>
      <c r="N860" s="65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</row>
    <row r="861">
      <c r="A861" s="60" t="s">
        <v>1034</v>
      </c>
      <c r="B861" s="63"/>
      <c r="C861" s="64"/>
      <c r="D861" s="22"/>
      <c r="E861" s="60"/>
      <c r="F861" s="60"/>
      <c r="G861" s="22"/>
      <c r="H861" s="22"/>
      <c r="I861" s="14"/>
      <c r="J861" s="60"/>
      <c r="K861" s="64"/>
      <c r="L861" s="22"/>
      <c r="M861" s="22"/>
      <c r="N861" s="65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</row>
    <row r="862">
      <c r="A862" s="60" t="s">
        <v>1034</v>
      </c>
      <c r="B862" s="63"/>
      <c r="C862" s="64"/>
      <c r="D862" s="22"/>
      <c r="E862" s="60"/>
      <c r="F862" s="60"/>
      <c r="G862" s="22"/>
      <c r="H862" s="22"/>
      <c r="I862" s="14"/>
      <c r="J862" s="60"/>
      <c r="K862" s="64"/>
      <c r="L862" s="22"/>
      <c r="M862" s="22"/>
      <c r="N862" s="65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</row>
    <row r="863">
      <c r="A863" s="60" t="s">
        <v>1034</v>
      </c>
      <c r="B863" s="63"/>
      <c r="C863" s="64"/>
      <c r="D863" s="22"/>
      <c r="E863" s="60"/>
      <c r="F863" s="60"/>
      <c r="G863" s="22"/>
      <c r="H863" s="22"/>
      <c r="I863" s="14"/>
      <c r="J863" s="60"/>
      <c r="K863" s="64"/>
      <c r="L863" s="22"/>
      <c r="M863" s="22"/>
      <c r="N863" s="65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</row>
    <row r="864">
      <c r="A864" s="60" t="s">
        <v>1034</v>
      </c>
      <c r="B864" s="63"/>
      <c r="C864" s="64"/>
      <c r="D864" s="22"/>
      <c r="E864" s="60"/>
      <c r="F864" s="60"/>
      <c r="G864" s="22"/>
      <c r="H864" s="22"/>
      <c r="I864" s="14"/>
      <c r="J864" s="60"/>
      <c r="K864" s="64"/>
      <c r="L864" s="22"/>
      <c r="M864" s="22"/>
      <c r="N864" s="65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</row>
    <row r="865">
      <c r="A865" s="60" t="s">
        <v>1034</v>
      </c>
      <c r="B865" s="63"/>
      <c r="C865" s="64"/>
      <c r="D865" s="22"/>
      <c r="E865" s="60"/>
      <c r="F865" s="60"/>
      <c r="G865" s="22"/>
      <c r="H865" s="22"/>
      <c r="I865" s="14"/>
      <c r="J865" s="60"/>
      <c r="K865" s="64"/>
      <c r="L865" s="22"/>
      <c r="M865" s="22"/>
      <c r="N865" s="65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</row>
    <row r="866">
      <c r="A866" s="60" t="s">
        <v>1034</v>
      </c>
      <c r="B866" s="63"/>
      <c r="C866" s="64"/>
      <c r="D866" s="22"/>
      <c r="E866" s="60"/>
      <c r="F866" s="60"/>
      <c r="G866" s="22"/>
      <c r="H866" s="22"/>
      <c r="I866" s="14"/>
      <c r="J866" s="60"/>
      <c r="K866" s="64"/>
      <c r="L866" s="22"/>
      <c r="M866" s="22"/>
      <c r="N866" s="65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</row>
    <row r="867">
      <c r="A867" s="60" t="s">
        <v>1034</v>
      </c>
      <c r="B867" s="63"/>
      <c r="C867" s="64"/>
      <c r="D867" s="22"/>
      <c r="E867" s="60"/>
      <c r="F867" s="60"/>
      <c r="G867" s="22"/>
      <c r="H867" s="22"/>
      <c r="I867" s="14"/>
      <c r="J867" s="60"/>
      <c r="K867" s="64"/>
      <c r="L867" s="22"/>
      <c r="M867" s="22"/>
      <c r="N867" s="65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</row>
    <row r="868">
      <c r="A868" s="60" t="s">
        <v>1034</v>
      </c>
      <c r="B868" s="63"/>
      <c r="C868" s="64"/>
      <c r="D868" s="22"/>
      <c r="E868" s="60"/>
      <c r="F868" s="60"/>
      <c r="G868" s="22"/>
      <c r="H868" s="22"/>
      <c r="I868" s="14"/>
      <c r="J868" s="60"/>
      <c r="K868" s="64"/>
      <c r="L868" s="22"/>
      <c r="M868" s="22"/>
      <c r="N868" s="65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</row>
    <row r="869">
      <c r="A869" s="60" t="s">
        <v>1034</v>
      </c>
      <c r="B869" s="63"/>
      <c r="C869" s="64"/>
      <c r="D869" s="22"/>
      <c r="E869" s="60"/>
      <c r="F869" s="60"/>
      <c r="G869" s="22"/>
      <c r="H869" s="22"/>
      <c r="I869" s="14"/>
      <c r="J869" s="60"/>
      <c r="K869" s="64"/>
      <c r="L869" s="22"/>
      <c r="M869" s="22"/>
      <c r="N869" s="65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</row>
    <row r="870">
      <c r="A870" s="60" t="s">
        <v>1034</v>
      </c>
      <c r="B870" s="63"/>
      <c r="C870" s="64"/>
      <c r="D870" s="22"/>
      <c r="E870" s="60"/>
      <c r="F870" s="60"/>
      <c r="G870" s="22"/>
      <c r="H870" s="22"/>
      <c r="I870" s="14"/>
      <c r="J870" s="60"/>
      <c r="K870" s="64"/>
      <c r="L870" s="22"/>
      <c r="M870" s="22"/>
      <c r="N870" s="65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</row>
    <row r="871">
      <c r="A871" s="60" t="s">
        <v>1034</v>
      </c>
      <c r="B871" s="63"/>
      <c r="C871" s="64"/>
      <c r="D871" s="22"/>
      <c r="E871" s="60"/>
      <c r="F871" s="60"/>
      <c r="G871" s="22"/>
      <c r="H871" s="22"/>
      <c r="I871" s="14"/>
      <c r="J871" s="60"/>
      <c r="K871" s="64"/>
      <c r="L871" s="22"/>
      <c r="M871" s="22"/>
      <c r="N871" s="65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</row>
    <row r="872">
      <c r="A872" s="60" t="s">
        <v>1034</v>
      </c>
      <c r="B872" s="63"/>
      <c r="C872" s="64"/>
      <c r="D872" s="22"/>
      <c r="E872" s="60"/>
      <c r="F872" s="60"/>
      <c r="G872" s="22"/>
      <c r="H872" s="22"/>
      <c r="I872" s="14"/>
      <c r="J872" s="60"/>
      <c r="K872" s="64"/>
      <c r="L872" s="22"/>
      <c r="M872" s="22"/>
      <c r="N872" s="65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</row>
    <row r="873">
      <c r="A873" s="60" t="s">
        <v>1034</v>
      </c>
      <c r="B873" s="63"/>
      <c r="C873" s="64"/>
      <c r="D873" s="22"/>
      <c r="E873" s="60"/>
      <c r="F873" s="60"/>
      <c r="G873" s="22"/>
      <c r="H873" s="22"/>
      <c r="I873" s="14"/>
      <c r="J873" s="60"/>
      <c r="K873" s="64"/>
      <c r="L873" s="22"/>
      <c r="M873" s="22"/>
      <c r="N873" s="65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</row>
    <row r="874">
      <c r="A874" s="60" t="s">
        <v>1034</v>
      </c>
      <c r="B874" s="63"/>
      <c r="C874" s="64"/>
      <c r="D874" s="22"/>
      <c r="E874" s="60"/>
      <c r="F874" s="60"/>
      <c r="G874" s="22"/>
      <c r="H874" s="22"/>
      <c r="I874" s="14"/>
      <c r="J874" s="60"/>
      <c r="K874" s="64"/>
      <c r="L874" s="22"/>
      <c r="M874" s="22"/>
      <c r="N874" s="65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</row>
    <row r="875">
      <c r="A875" s="60" t="s">
        <v>1034</v>
      </c>
      <c r="B875" s="63"/>
      <c r="C875" s="64"/>
      <c r="D875" s="22"/>
      <c r="E875" s="60"/>
      <c r="F875" s="60"/>
      <c r="G875" s="22"/>
      <c r="H875" s="22"/>
      <c r="I875" s="14"/>
      <c r="J875" s="60"/>
      <c r="K875" s="64"/>
      <c r="L875" s="22"/>
      <c r="M875" s="22"/>
      <c r="N875" s="65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</row>
    <row r="876">
      <c r="A876" s="60" t="s">
        <v>1034</v>
      </c>
      <c r="B876" s="63"/>
      <c r="C876" s="64"/>
      <c r="D876" s="22"/>
      <c r="E876" s="60"/>
      <c r="F876" s="60"/>
      <c r="G876" s="22"/>
      <c r="H876" s="22"/>
      <c r="I876" s="14"/>
      <c r="J876" s="60"/>
      <c r="K876" s="64"/>
      <c r="L876" s="22"/>
      <c r="M876" s="22"/>
      <c r="N876" s="65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</row>
    <row r="877">
      <c r="A877" s="60" t="s">
        <v>1034</v>
      </c>
      <c r="B877" s="63"/>
      <c r="C877" s="64"/>
      <c r="D877" s="22"/>
      <c r="E877" s="60"/>
      <c r="F877" s="60"/>
      <c r="G877" s="22"/>
      <c r="H877" s="22"/>
      <c r="I877" s="14"/>
      <c r="J877" s="60"/>
      <c r="K877" s="64"/>
      <c r="L877" s="22"/>
      <c r="M877" s="22"/>
      <c r="N877" s="65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</row>
    <row r="878">
      <c r="A878" s="60" t="s">
        <v>1034</v>
      </c>
      <c r="B878" s="63"/>
      <c r="C878" s="64"/>
      <c r="D878" s="22"/>
      <c r="E878" s="60"/>
      <c r="F878" s="60"/>
      <c r="G878" s="22"/>
      <c r="H878" s="22"/>
      <c r="I878" s="14"/>
      <c r="J878" s="60"/>
      <c r="K878" s="64"/>
      <c r="L878" s="22"/>
      <c r="M878" s="22"/>
      <c r="N878" s="65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</row>
    <row r="879">
      <c r="A879" s="60" t="s">
        <v>1034</v>
      </c>
      <c r="B879" s="63"/>
      <c r="C879" s="64"/>
      <c r="D879" s="22"/>
      <c r="E879" s="60"/>
      <c r="F879" s="60"/>
      <c r="G879" s="22"/>
      <c r="H879" s="22"/>
      <c r="I879" s="14"/>
      <c r="J879" s="60"/>
      <c r="K879" s="64"/>
      <c r="L879" s="22"/>
      <c r="M879" s="22"/>
      <c r="N879" s="65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</row>
    <row r="880">
      <c r="A880" s="60" t="s">
        <v>1034</v>
      </c>
      <c r="B880" s="63"/>
      <c r="C880" s="64"/>
      <c r="D880" s="22"/>
      <c r="E880" s="60"/>
      <c r="F880" s="60"/>
      <c r="G880" s="22"/>
      <c r="H880" s="22"/>
      <c r="I880" s="14"/>
      <c r="J880" s="60"/>
      <c r="K880" s="64"/>
      <c r="L880" s="22"/>
      <c r="M880" s="22"/>
      <c r="N880" s="65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</row>
    <row r="881">
      <c r="A881" s="60" t="s">
        <v>1034</v>
      </c>
      <c r="B881" s="63"/>
      <c r="C881" s="64"/>
      <c r="D881" s="22"/>
      <c r="E881" s="60"/>
      <c r="F881" s="60"/>
      <c r="G881" s="22"/>
      <c r="H881" s="22"/>
      <c r="I881" s="14"/>
      <c r="J881" s="60"/>
      <c r="K881" s="64"/>
      <c r="L881" s="22"/>
      <c r="M881" s="22"/>
      <c r="N881" s="65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</row>
    <row r="882">
      <c r="A882" s="60" t="s">
        <v>1034</v>
      </c>
      <c r="B882" s="63"/>
      <c r="C882" s="64"/>
      <c r="D882" s="22"/>
      <c r="E882" s="60"/>
      <c r="F882" s="60"/>
      <c r="G882" s="22"/>
      <c r="H882" s="22"/>
      <c r="I882" s="14"/>
      <c r="J882" s="60"/>
      <c r="K882" s="64"/>
      <c r="L882" s="22"/>
      <c r="M882" s="22"/>
      <c r="N882" s="65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</row>
    <row r="883">
      <c r="A883" s="60" t="s">
        <v>1034</v>
      </c>
      <c r="B883" s="63"/>
      <c r="C883" s="64"/>
      <c r="D883" s="22"/>
      <c r="E883" s="60"/>
      <c r="F883" s="60"/>
      <c r="G883" s="22"/>
      <c r="H883" s="22"/>
      <c r="I883" s="14"/>
      <c r="J883" s="60"/>
      <c r="K883" s="64"/>
      <c r="L883" s="22"/>
      <c r="M883" s="22"/>
      <c r="N883" s="65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</row>
    <row r="884">
      <c r="A884" s="60" t="s">
        <v>1034</v>
      </c>
      <c r="B884" s="63"/>
      <c r="C884" s="64"/>
      <c r="D884" s="22"/>
      <c r="E884" s="60"/>
      <c r="F884" s="60"/>
      <c r="G884" s="22"/>
      <c r="H884" s="22"/>
      <c r="I884" s="14"/>
      <c r="J884" s="60"/>
      <c r="K884" s="64"/>
      <c r="L884" s="22"/>
      <c r="M884" s="22"/>
      <c r="N884" s="65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</row>
    <row r="885">
      <c r="A885" s="60" t="s">
        <v>1034</v>
      </c>
      <c r="B885" s="63"/>
      <c r="C885" s="64"/>
      <c r="D885" s="22"/>
      <c r="E885" s="60"/>
      <c r="F885" s="60"/>
      <c r="G885" s="22"/>
      <c r="H885" s="22"/>
      <c r="I885" s="14"/>
      <c r="J885" s="60"/>
      <c r="K885" s="64"/>
      <c r="L885" s="22"/>
      <c r="M885" s="22"/>
      <c r="N885" s="65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</row>
    <row r="886">
      <c r="A886" s="60" t="s">
        <v>1034</v>
      </c>
      <c r="B886" s="63"/>
      <c r="C886" s="64"/>
      <c r="D886" s="22"/>
      <c r="E886" s="60"/>
      <c r="F886" s="60"/>
      <c r="G886" s="22"/>
      <c r="H886" s="22"/>
      <c r="I886" s="14"/>
      <c r="J886" s="60"/>
      <c r="K886" s="64"/>
      <c r="L886" s="22"/>
      <c r="M886" s="22"/>
      <c r="N886" s="65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</row>
    <row r="887">
      <c r="A887" s="60" t="s">
        <v>1034</v>
      </c>
      <c r="B887" s="63"/>
      <c r="C887" s="64"/>
      <c r="D887" s="22"/>
      <c r="E887" s="60"/>
      <c r="F887" s="60"/>
      <c r="G887" s="22"/>
      <c r="H887" s="22"/>
      <c r="I887" s="14"/>
      <c r="J887" s="60"/>
      <c r="K887" s="64"/>
      <c r="L887" s="22"/>
      <c r="M887" s="22"/>
      <c r="N887" s="65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</row>
    <row r="888">
      <c r="A888" s="60" t="s">
        <v>1034</v>
      </c>
      <c r="B888" s="63"/>
      <c r="C888" s="64"/>
      <c r="D888" s="22"/>
      <c r="E888" s="60"/>
      <c r="F888" s="60"/>
      <c r="G888" s="22"/>
      <c r="H888" s="22"/>
      <c r="I888" s="14"/>
      <c r="J888" s="60"/>
      <c r="K888" s="64"/>
      <c r="L888" s="22"/>
      <c r="M888" s="22"/>
      <c r="N888" s="65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</row>
    <row r="889">
      <c r="A889" s="60" t="s">
        <v>1034</v>
      </c>
      <c r="B889" s="63"/>
      <c r="C889" s="64"/>
      <c r="D889" s="22"/>
      <c r="E889" s="60"/>
      <c r="F889" s="60"/>
      <c r="G889" s="22"/>
      <c r="H889" s="22"/>
      <c r="I889" s="14"/>
      <c r="J889" s="60"/>
      <c r="K889" s="64"/>
      <c r="L889" s="22"/>
      <c r="M889" s="22"/>
      <c r="N889" s="65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</row>
    <row r="890">
      <c r="A890" s="60" t="s">
        <v>1034</v>
      </c>
      <c r="B890" s="63"/>
      <c r="C890" s="64"/>
      <c r="D890" s="22"/>
      <c r="E890" s="60"/>
      <c r="F890" s="60"/>
      <c r="G890" s="22"/>
      <c r="H890" s="22"/>
      <c r="I890" s="14"/>
      <c r="J890" s="60"/>
      <c r="K890" s="64"/>
      <c r="L890" s="22"/>
      <c r="M890" s="22"/>
      <c r="N890" s="65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</row>
    <row r="891">
      <c r="A891" s="60" t="s">
        <v>1034</v>
      </c>
      <c r="B891" s="63"/>
      <c r="C891" s="64"/>
      <c r="D891" s="22"/>
      <c r="E891" s="60"/>
      <c r="F891" s="60"/>
      <c r="G891" s="22"/>
      <c r="H891" s="22"/>
      <c r="I891" s="14"/>
      <c r="J891" s="60"/>
      <c r="K891" s="64"/>
      <c r="L891" s="22"/>
      <c r="M891" s="22"/>
      <c r="N891" s="65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</row>
    <row r="892">
      <c r="A892" s="60" t="s">
        <v>1034</v>
      </c>
      <c r="B892" s="63"/>
      <c r="C892" s="64"/>
      <c r="D892" s="22"/>
      <c r="E892" s="60"/>
      <c r="F892" s="60"/>
      <c r="G892" s="22"/>
      <c r="H892" s="22"/>
      <c r="I892" s="14"/>
      <c r="J892" s="60"/>
      <c r="K892" s="64"/>
      <c r="L892" s="22"/>
      <c r="M892" s="22"/>
      <c r="N892" s="65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</row>
    <row r="893">
      <c r="A893" s="60" t="s">
        <v>1034</v>
      </c>
      <c r="B893" s="63"/>
      <c r="C893" s="64"/>
      <c r="D893" s="22"/>
      <c r="E893" s="60"/>
      <c r="F893" s="60"/>
      <c r="G893" s="22"/>
      <c r="H893" s="22"/>
      <c r="I893" s="14"/>
      <c r="J893" s="60"/>
      <c r="K893" s="64"/>
      <c r="L893" s="22"/>
      <c r="M893" s="22"/>
      <c r="N893" s="65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</row>
    <row r="894">
      <c r="A894" s="60" t="s">
        <v>1034</v>
      </c>
      <c r="B894" s="63"/>
      <c r="C894" s="64"/>
      <c r="D894" s="22"/>
      <c r="E894" s="60"/>
      <c r="F894" s="60"/>
      <c r="G894" s="22"/>
      <c r="H894" s="22"/>
      <c r="I894" s="14"/>
      <c r="J894" s="60"/>
      <c r="K894" s="64"/>
      <c r="L894" s="22"/>
      <c r="M894" s="22"/>
      <c r="N894" s="65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</row>
    <row r="895">
      <c r="A895" s="60" t="s">
        <v>1034</v>
      </c>
      <c r="B895" s="63"/>
      <c r="C895" s="64"/>
      <c r="D895" s="22"/>
      <c r="E895" s="60"/>
      <c r="F895" s="60"/>
      <c r="G895" s="22"/>
      <c r="H895" s="22"/>
      <c r="I895" s="14"/>
      <c r="J895" s="60"/>
      <c r="K895" s="64"/>
      <c r="L895" s="22"/>
      <c r="M895" s="22"/>
      <c r="N895" s="65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</row>
    <row r="896">
      <c r="A896" s="60" t="s">
        <v>1034</v>
      </c>
      <c r="B896" s="63"/>
      <c r="C896" s="64"/>
      <c r="D896" s="22"/>
      <c r="E896" s="60"/>
      <c r="F896" s="60"/>
      <c r="G896" s="22"/>
      <c r="H896" s="22"/>
      <c r="I896" s="14"/>
      <c r="J896" s="60"/>
      <c r="K896" s="64"/>
      <c r="L896" s="22"/>
      <c r="M896" s="22"/>
      <c r="N896" s="65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</row>
    <row r="897">
      <c r="A897" s="60" t="s">
        <v>1034</v>
      </c>
      <c r="B897" s="63"/>
      <c r="C897" s="64"/>
      <c r="D897" s="22"/>
      <c r="E897" s="60"/>
      <c r="F897" s="60"/>
      <c r="G897" s="22"/>
      <c r="H897" s="22"/>
      <c r="I897" s="14"/>
      <c r="J897" s="60"/>
      <c r="K897" s="64"/>
      <c r="L897" s="22"/>
      <c r="M897" s="22"/>
      <c r="N897" s="65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</row>
    <row r="898">
      <c r="A898" s="60" t="s">
        <v>1034</v>
      </c>
      <c r="B898" s="63"/>
      <c r="C898" s="64"/>
      <c r="D898" s="22"/>
      <c r="E898" s="60"/>
      <c r="F898" s="60"/>
      <c r="G898" s="22"/>
      <c r="H898" s="22"/>
      <c r="I898" s="14"/>
      <c r="J898" s="60"/>
      <c r="K898" s="64"/>
      <c r="L898" s="22"/>
      <c r="M898" s="22"/>
      <c r="N898" s="65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</row>
    <row r="899">
      <c r="A899" s="60" t="s">
        <v>1034</v>
      </c>
      <c r="B899" s="63"/>
      <c r="C899" s="64"/>
      <c r="D899" s="22"/>
      <c r="E899" s="60"/>
      <c r="F899" s="60"/>
      <c r="G899" s="22"/>
      <c r="H899" s="22"/>
      <c r="I899" s="14"/>
      <c r="J899" s="60"/>
      <c r="K899" s="64"/>
      <c r="L899" s="22"/>
      <c r="M899" s="22"/>
      <c r="N899" s="65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</row>
    <row r="900">
      <c r="A900" s="60" t="s">
        <v>1034</v>
      </c>
      <c r="B900" s="63"/>
      <c r="C900" s="64"/>
      <c r="D900" s="22"/>
      <c r="E900" s="60"/>
      <c r="F900" s="60"/>
      <c r="G900" s="22"/>
      <c r="H900" s="22"/>
      <c r="I900" s="14"/>
      <c r="J900" s="60"/>
      <c r="K900" s="64"/>
      <c r="L900" s="22"/>
      <c r="M900" s="22"/>
      <c r="N900" s="65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</row>
    <row r="901">
      <c r="A901" s="60" t="s">
        <v>1034</v>
      </c>
      <c r="B901" s="63"/>
      <c r="C901" s="64"/>
      <c r="D901" s="22"/>
      <c r="E901" s="60"/>
      <c r="F901" s="60"/>
      <c r="G901" s="22"/>
      <c r="H901" s="22"/>
      <c r="I901" s="14"/>
      <c r="J901" s="60"/>
      <c r="K901" s="64"/>
      <c r="L901" s="22"/>
      <c r="M901" s="22"/>
      <c r="N901" s="65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</row>
    <row r="902">
      <c r="A902" s="60" t="s">
        <v>1034</v>
      </c>
      <c r="B902" s="63"/>
      <c r="C902" s="64"/>
      <c r="D902" s="22"/>
      <c r="E902" s="60"/>
      <c r="F902" s="60"/>
      <c r="G902" s="22"/>
      <c r="H902" s="22"/>
      <c r="I902" s="14"/>
      <c r="J902" s="60"/>
      <c r="K902" s="64"/>
      <c r="L902" s="22"/>
      <c r="M902" s="22"/>
      <c r="N902" s="65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</row>
    <row r="903">
      <c r="A903" s="60" t="s">
        <v>1034</v>
      </c>
      <c r="B903" s="63"/>
      <c r="C903" s="64"/>
      <c r="D903" s="22"/>
      <c r="E903" s="60"/>
      <c r="F903" s="60"/>
      <c r="G903" s="22"/>
      <c r="H903" s="22"/>
      <c r="I903" s="14"/>
      <c r="J903" s="60"/>
      <c r="K903" s="64"/>
      <c r="L903" s="22"/>
      <c r="M903" s="22"/>
      <c r="N903" s="65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</row>
    <row r="904">
      <c r="A904" s="60" t="s">
        <v>1034</v>
      </c>
      <c r="B904" s="63"/>
      <c r="C904" s="64"/>
      <c r="D904" s="22"/>
      <c r="E904" s="60"/>
      <c r="F904" s="60"/>
      <c r="G904" s="22"/>
      <c r="H904" s="22"/>
      <c r="I904" s="14"/>
      <c r="J904" s="60"/>
      <c r="K904" s="64"/>
      <c r="L904" s="22"/>
      <c r="M904" s="22"/>
      <c r="N904" s="65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</row>
    <row r="905">
      <c r="A905" s="60" t="s">
        <v>1034</v>
      </c>
      <c r="B905" s="63"/>
      <c r="C905" s="64"/>
      <c r="D905" s="22"/>
      <c r="E905" s="60"/>
      <c r="F905" s="60"/>
      <c r="G905" s="22"/>
      <c r="H905" s="22"/>
      <c r="I905" s="14"/>
      <c r="J905" s="60"/>
      <c r="K905" s="64"/>
      <c r="L905" s="22"/>
      <c r="M905" s="22"/>
      <c r="N905" s="65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</row>
    <row r="906">
      <c r="A906" s="60" t="s">
        <v>1034</v>
      </c>
      <c r="B906" s="63"/>
      <c r="C906" s="64"/>
      <c r="D906" s="22"/>
      <c r="E906" s="60"/>
      <c r="F906" s="60"/>
      <c r="G906" s="22"/>
      <c r="H906" s="22"/>
      <c r="I906" s="14"/>
      <c r="J906" s="60"/>
      <c r="K906" s="64"/>
      <c r="L906" s="22"/>
      <c r="M906" s="22"/>
      <c r="N906" s="65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</row>
    <row r="907">
      <c r="A907" s="60" t="s">
        <v>1034</v>
      </c>
      <c r="B907" s="63"/>
      <c r="C907" s="64"/>
      <c r="D907" s="22"/>
      <c r="E907" s="60"/>
      <c r="F907" s="60"/>
      <c r="G907" s="22"/>
      <c r="H907" s="22"/>
      <c r="I907" s="14"/>
      <c r="J907" s="60"/>
      <c r="K907" s="64"/>
      <c r="L907" s="22"/>
      <c r="M907" s="22"/>
      <c r="N907" s="65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</row>
    <row r="908">
      <c r="A908" s="60" t="s">
        <v>1034</v>
      </c>
      <c r="B908" s="63"/>
      <c r="C908" s="64"/>
      <c r="D908" s="22"/>
      <c r="E908" s="60"/>
      <c r="F908" s="60"/>
      <c r="G908" s="22"/>
      <c r="H908" s="22"/>
      <c r="I908" s="14"/>
      <c r="J908" s="60"/>
      <c r="K908" s="64"/>
      <c r="L908" s="22"/>
      <c r="M908" s="22"/>
      <c r="N908" s="65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</row>
    <row r="909">
      <c r="A909" s="60" t="s">
        <v>1034</v>
      </c>
      <c r="B909" s="63"/>
      <c r="C909" s="64"/>
      <c r="D909" s="22"/>
      <c r="E909" s="60"/>
      <c r="F909" s="60"/>
      <c r="G909" s="22"/>
      <c r="H909" s="22"/>
      <c r="I909" s="14"/>
      <c r="J909" s="60"/>
      <c r="K909" s="64"/>
      <c r="L909" s="22"/>
      <c r="M909" s="22"/>
      <c r="N909" s="65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</row>
    <row r="910">
      <c r="A910" s="60" t="s">
        <v>1034</v>
      </c>
      <c r="B910" s="63"/>
      <c r="C910" s="64"/>
      <c r="D910" s="22"/>
      <c r="E910" s="60"/>
      <c r="F910" s="60"/>
      <c r="G910" s="22"/>
      <c r="H910" s="22"/>
      <c r="I910" s="14"/>
      <c r="J910" s="60"/>
      <c r="K910" s="64"/>
      <c r="L910" s="22"/>
      <c r="M910" s="22"/>
      <c r="N910" s="65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</row>
    <row r="911">
      <c r="A911" s="60" t="s">
        <v>1034</v>
      </c>
      <c r="B911" s="63"/>
      <c r="C911" s="64"/>
      <c r="D911" s="22"/>
      <c r="E911" s="60"/>
      <c r="F911" s="60"/>
      <c r="G911" s="22"/>
      <c r="H911" s="22"/>
      <c r="I911" s="14"/>
      <c r="J911" s="60"/>
      <c r="K911" s="64"/>
      <c r="L911" s="22"/>
      <c r="M911" s="22"/>
      <c r="N911" s="65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</row>
    <row r="912">
      <c r="A912" s="60" t="s">
        <v>1034</v>
      </c>
      <c r="B912" s="63"/>
      <c r="C912" s="64"/>
      <c r="D912" s="22"/>
      <c r="E912" s="60"/>
      <c r="F912" s="60"/>
      <c r="G912" s="22"/>
      <c r="H912" s="22"/>
      <c r="I912" s="14"/>
      <c r="J912" s="60"/>
      <c r="K912" s="64"/>
      <c r="L912" s="22"/>
      <c r="M912" s="22"/>
      <c r="N912" s="65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</row>
    <row r="913">
      <c r="A913" s="60" t="s">
        <v>1034</v>
      </c>
      <c r="B913" s="63"/>
      <c r="C913" s="64"/>
      <c r="D913" s="22"/>
      <c r="E913" s="60"/>
      <c r="F913" s="60"/>
      <c r="G913" s="22"/>
      <c r="H913" s="22"/>
      <c r="I913" s="14"/>
      <c r="J913" s="60"/>
      <c r="K913" s="64"/>
      <c r="L913" s="22"/>
      <c r="M913" s="22"/>
      <c r="N913" s="65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</row>
    <row r="914">
      <c r="A914" s="60" t="s">
        <v>1034</v>
      </c>
      <c r="B914" s="63"/>
      <c r="C914" s="64"/>
      <c r="D914" s="22"/>
      <c r="E914" s="60"/>
      <c r="F914" s="60"/>
      <c r="G914" s="22"/>
      <c r="H914" s="22"/>
      <c r="I914" s="14"/>
      <c r="J914" s="60"/>
      <c r="K914" s="64"/>
      <c r="L914" s="22"/>
      <c r="M914" s="22"/>
      <c r="N914" s="65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</row>
    <row r="915">
      <c r="A915" s="60" t="s">
        <v>1034</v>
      </c>
      <c r="B915" s="63"/>
      <c r="C915" s="64"/>
      <c r="D915" s="22"/>
      <c r="E915" s="60"/>
      <c r="F915" s="60"/>
      <c r="G915" s="22"/>
      <c r="H915" s="22"/>
      <c r="I915" s="14"/>
      <c r="J915" s="60"/>
      <c r="K915" s="64"/>
      <c r="L915" s="22"/>
      <c r="M915" s="22"/>
      <c r="N915" s="65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</row>
    <row r="916">
      <c r="A916" s="60" t="s">
        <v>1034</v>
      </c>
      <c r="B916" s="63"/>
      <c r="C916" s="64"/>
      <c r="D916" s="22"/>
      <c r="E916" s="60"/>
      <c r="F916" s="60"/>
      <c r="G916" s="22"/>
      <c r="H916" s="22"/>
      <c r="I916" s="14"/>
      <c r="J916" s="60"/>
      <c r="K916" s="64"/>
      <c r="L916" s="22"/>
      <c r="M916" s="22"/>
      <c r="N916" s="65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</row>
    <row r="917">
      <c r="A917" s="60" t="s">
        <v>1034</v>
      </c>
      <c r="B917" s="63"/>
      <c r="C917" s="64"/>
      <c r="D917" s="22"/>
      <c r="E917" s="60"/>
      <c r="F917" s="60"/>
      <c r="G917" s="22"/>
      <c r="H917" s="22"/>
      <c r="I917" s="14"/>
      <c r="J917" s="60"/>
      <c r="K917" s="64"/>
      <c r="L917" s="22"/>
      <c r="M917" s="22"/>
      <c r="N917" s="65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</row>
    <row r="918">
      <c r="A918" s="60" t="s">
        <v>1034</v>
      </c>
      <c r="B918" s="63"/>
      <c r="C918" s="64"/>
      <c r="D918" s="22"/>
      <c r="E918" s="60"/>
      <c r="F918" s="60"/>
      <c r="G918" s="22"/>
      <c r="H918" s="22"/>
      <c r="I918" s="14"/>
      <c r="J918" s="60"/>
      <c r="K918" s="64"/>
      <c r="L918" s="22"/>
      <c r="M918" s="22"/>
      <c r="N918" s="65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</row>
    <row r="919">
      <c r="A919" s="60" t="s">
        <v>1034</v>
      </c>
      <c r="B919" s="63"/>
      <c r="C919" s="64"/>
      <c r="D919" s="22"/>
      <c r="E919" s="60"/>
      <c r="F919" s="60"/>
      <c r="G919" s="22"/>
      <c r="H919" s="22"/>
      <c r="I919" s="14"/>
      <c r="J919" s="60"/>
      <c r="K919" s="64"/>
      <c r="L919" s="22"/>
      <c r="M919" s="22"/>
      <c r="N919" s="65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</row>
    <row r="920">
      <c r="A920" s="60" t="s">
        <v>1034</v>
      </c>
      <c r="B920" s="63"/>
      <c r="C920" s="64"/>
      <c r="D920" s="22"/>
      <c r="E920" s="60"/>
      <c r="F920" s="60"/>
      <c r="G920" s="22"/>
      <c r="H920" s="22"/>
      <c r="I920" s="14"/>
      <c r="J920" s="60"/>
      <c r="K920" s="64"/>
      <c r="L920" s="22"/>
      <c r="M920" s="22"/>
      <c r="N920" s="65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</row>
    <row r="921">
      <c r="A921" s="60" t="s">
        <v>1034</v>
      </c>
      <c r="B921" s="63"/>
      <c r="C921" s="64"/>
      <c r="D921" s="22"/>
      <c r="E921" s="60"/>
      <c r="F921" s="60"/>
      <c r="G921" s="22"/>
      <c r="H921" s="22"/>
      <c r="I921" s="14"/>
      <c r="J921" s="60"/>
      <c r="K921" s="64"/>
      <c r="L921" s="22"/>
      <c r="M921" s="22"/>
      <c r="N921" s="65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</row>
    <row r="922">
      <c r="A922" s="60" t="s">
        <v>1034</v>
      </c>
      <c r="B922" s="63"/>
      <c r="C922" s="64"/>
      <c r="D922" s="22"/>
      <c r="E922" s="60"/>
      <c r="F922" s="60"/>
      <c r="G922" s="22"/>
      <c r="H922" s="22"/>
      <c r="I922" s="14"/>
      <c r="J922" s="60"/>
      <c r="K922" s="64"/>
      <c r="L922" s="22"/>
      <c r="M922" s="22"/>
      <c r="N922" s="65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</row>
    <row r="923">
      <c r="A923" s="60" t="s">
        <v>1034</v>
      </c>
      <c r="B923" s="63"/>
      <c r="C923" s="64"/>
      <c r="D923" s="22"/>
      <c r="E923" s="60"/>
      <c r="F923" s="60"/>
      <c r="G923" s="22"/>
      <c r="H923" s="22"/>
      <c r="I923" s="14"/>
      <c r="J923" s="60"/>
      <c r="K923" s="64"/>
      <c r="L923" s="22"/>
      <c r="M923" s="22"/>
      <c r="N923" s="65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</row>
    <row r="924">
      <c r="A924" s="60" t="s">
        <v>1034</v>
      </c>
      <c r="B924" s="63"/>
      <c r="C924" s="64"/>
      <c r="D924" s="22"/>
      <c r="E924" s="60"/>
      <c r="F924" s="60"/>
      <c r="G924" s="22"/>
      <c r="H924" s="22"/>
      <c r="I924" s="14"/>
      <c r="J924" s="60"/>
      <c r="K924" s="64"/>
      <c r="L924" s="22"/>
      <c r="M924" s="22"/>
      <c r="N924" s="65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</row>
    <row r="925">
      <c r="A925" s="60" t="s">
        <v>1034</v>
      </c>
      <c r="B925" s="63"/>
      <c r="C925" s="64"/>
      <c r="D925" s="22"/>
      <c r="E925" s="60"/>
      <c r="F925" s="60"/>
      <c r="G925" s="22"/>
      <c r="H925" s="22"/>
      <c r="I925" s="14"/>
      <c r="J925" s="60"/>
      <c r="K925" s="64"/>
      <c r="L925" s="22"/>
      <c r="M925" s="22"/>
      <c r="N925" s="65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</row>
    <row r="926">
      <c r="A926" s="60" t="s">
        <v>1034</v>
      </c>
      <c r="B926" s="63"/>
      <c r="C926" s="64"/>
      <c r="D926" s="22"/>
      <c r="E926" s="60"/>
      <c r="F926" s="60"/>
      <c r="G926" s="22"/>
      <c r="H926" s="22"/>
      <c r="I926" s="14"/>
      <c r="J926" s="60"/>
      <c r="K926" s="64"/>
      <c r="L926" s="22"/>
      <c r="M926" s="22"/>
      <c r="N926" s="65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</row>
    <row r="927">
      <c r="A927" s="60" t="s">
        <v>1034</v>
      </c>
      <c r="B927" s="63"/>
      <c r="C927" s="64"/>
      <c r="D927" s="22"/>
      <c r="E927" s="60"/>
      <c r="F927" s="60"/>
      <c r="G927" s="22"/>
      <c r="H927" s="22"/>
      <c r="I927" s="14"/>
      <c r="J927" s="60"/>
      <c r="K927" s="64"/>
      <c r="L927" s="22"/>
      <c r="M927" s="22"/>
      <c r="N927" s="65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</row>
    <row r="928">
      <c r="A928" s="60" t="s">
        <v>1034</v>
      </c>
      <c r="B928" s="63"/>
      <c r="C928" s="64"/>
      <c r="D928" s="22"/>
      <c r="E928" s="60"/>
      <c r="F928" s="60"/>
      <c r="G928" s="22"/>
      <c r="H928" s="22"/>
      <c r="I928" s="14"/>
      <c r="J928" s="60"/>
      <c r="K928" s="64"/>
      <c r="L928" s="22"/>
      <c r="M928" s="22"/>
      <c r="N928" s="65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</row>
    <row r="929">
      <c r="A929" s="60" t="s">
        <v>1034</v>
      </c>
      <c r="B929" s="63"/>
      <c r="C929" s="64"/>
      <c r="D929" s="22"/>
      <c r="E929" s="60"/>
      <c r="F929" s="60"/>
      <c r="G929" s="22"/>
      <c r="H929" s="22"/>
      <c r="I929" s="14"/>
      <c r="J929" s="60"/>
      <c r="K929" s="64"/>
      <c r="L929" s="22"/>
      <c r="M929" s="22"/>
      <c r="N929" s="65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</row>
    <row r="930">
      <c r="A930" s="60" t="s">
        <v>1034</v>
      </c>
      <c r="B930" s="63"/>
      <c r="C930" s="64"/>
      <c r="D930" s="22"/>
      <c r="E930" s="60"/>
      <c r="F930" s="60"/>
      <c r="G930" s="22"/>
      <c r="H930" s="22"/>
      <c r="I930" s="14"/>
      <c r="J930" s="60"/>
      <c r="K930" s="64"/>
      <c r="L930" s="22"/>
      <c r="M930" s="22"/>
      <c r="N930" s="65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</row>
    <row r="931">
      <c r="A931" s="60" t="s">
        <v>1034</v>
      </c>
      <c r="B931" s="63"/>
      <c r="C931" s="64"/>
      <c r="D931" s="22"/>
      <c r="E931" s="60"/>
      <c r="F931" s="60"/>
      <c r="G931" s="22"/>
      <c r="H931" s="22"/>
      <c r="I931" s="14"/>
      <c r="J931" s="60"/>
      <c r="K931" s="64"/>
      <c r="L931" s="22"/>
      <c r="M931" s="22"/>
      <c r="N931" s="65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</row>
    <row r="932">
      <c r="A932" s="60" t="s">
        <v>1034</v>
      </c>
      <c r="B932" s="63"/>
      <c r="C932" s="64"/>
      <c r="D932" s="22"/>
      <c r="E932" s="60"/>
      <c r="F932" s="60"/>
      <c r="G932" s="22"/>
      <c r="H932" s="22"/>
      <c r="I932" s="14"/>
      <c r="J932" s="60"/>
      <c r="K932" s="64"/>
      <c r="L932" s="22"/>
      <c r="M932" s="22"/>
      <c r="N932" s="65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</row>
    <row r="933">
      <c r="A933" s="60" t="s">
        <v>1034</v>
      </c>
      <c r="B933" s="63"/>
      <c r="C933" s="64"/>
      <c r="D933" s="22"/>
      <c r="E933" s="60"/>
      <c r="F933" s="60"/>
      <c r="G933" s="22"/>
      <c r="H933" s="22"/>
      <c r="I933" s="14"/>
      <c r="J933" s="60"/>
      <c r="K933" s="64"/>
      <c r="L933" s="22"/>
      <c r="M933" s="22"/>
      <c r="N933" s="65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</row>
    <row r="934">
      <c r="A934" s="60" t="s">
        <v>1034</v>
      </c>
      <c r="B934" s="63"/>
      <c r="C934" s="64"/>
      <c r="D934" s="22"/>
      <c r="E934" s="60"/>
      <c r="F934" s="60"/>
      <c r="G934" s="22"/>
      <c r="H934" s="22"/>
      <c r="I934" s="14"/>
      <c r="J934" s="60"/>
      <c r="K934" s="64"/>
      <c r="L934" s="22"/>
      <c r="M934" s="22"/>
      <c r="N934" s="65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</row>
    <row r="935">
      <c r="A935" s="60" t="s">
        <v>1034</v>
      </c>
      <c r="B935" s="63"/>
      <c r="C935" s="64"/>
      <c r="D935" s="22"/>
      <c r="E935" s="60"/>
      <c r="F935" s="60"/>
      <c r="G935" s="22"/>
      <c r="H935" s="22"/>
      <c r="I935" s="14"/>
      <c r="J935" s="60"/>
      <c r="K935" s="64"/>
      <c r="L935" s="22"/>
      <c r="M935" s="22"/>
      <c r="N935" s="65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</row>
    <row r="936">
      <c r="A936" s="60" t="s">
        <v>1034</v>
      </c>
      <c r="B936" s="63"/>
      <c r="C936" s="64"/>
      <c r="D936" s="22"/>
      <c r="E936" s="60"/>
      <c r="F936" s="60"/>
      <c r="G936" s="22"/>
      <c r="H936" s="22"/>
      <c r="I936" s="14"/>
      <c r="J936" s="60"/>
      <c r="K936" s="64"/>
      <c r="L936" s="22"/>
      <c r="M936" s="22"/>
      <c r="N936" s="65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</row>
    <row r="937">
      <c r="A937" s="60" t="s">
        <v>1034</v>
      </c>
      <c r="B937" s="63"/>
      <c r="C937" s="64"/>
      <c r="D937" s="22"/>
      <c r="E937" s="60"/>
      <c r="F937" s="60"/>
      <c r="G937" s="22"/>
      <c r="H937" s="22"/>
      <c r="I937" s="14"/>
      <c r="J937" s="60"/>
      <c r="K937" s="64"/>
      <c r="L937" s="22"/>
      <c r="M937" s="22"/>
      <c r="N937" s="65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</row>
    <row r="938">
      <c r="A938" s="60" t="s">
        <v>1034</v>
      </c>
      <c r="B938" s="63"/>
      <c r="C938" s="64"/>
      <c r="D938" s="22"/>
      <c r="E938" s="60"/>
      <c r="F938" s="60"/>
      <c r="G938" s="22"/>
      <c r="H938" s="22"/>
      <c r="I938" s="14"/>
      <c r="J938" s="60"/>
      <c r="K938" s="64"/>
      <c r="L938" s="22"/>
      <c r="M938" s="22"/>
      <c r="N938" s="65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</row>
    <row r="939">
      <c r="A939" s="60" t="s">
        <v>1034</v>
      </c>
      <c r="B939" s="63"/>
      <c r="C939" s="64"/>
      <c r="D939" s="22"/>
      <c r="E939" s="60"/>
      <c r="F939" s="60"/>
      <c r="G939" s="22"/>
      <c r="H939" s="22"/>
      <c r="I939" s="14"/>
      <c r="J939" s="60"/>
      <c r="K939" s="64"/>
      <c r="L939" s="22"/>
      <c r="M939" s="22"/>
      <c r="N939" s="65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</row>
    <row r="940">
      <c r="A940" s="60" t="s">
        <v>1034</v>
      </c>
      <c r="B940" s="63"/>
      <c r="C940" s="64"/>
      <c r="D940" s="22"/>
      <c r="E940" s="60"/>
      <c r="F940" s="60"/>
      <c r="G940" s="22"/>
      <c r="H940" s="22"/>
      <c r="I940" s="14"/>
      <c r="J940" s="60"/>
      <c r="K940" s="64"/>
      <c r="L940" s="22"/>
      <c r="M940" s="22"/>
      <c r="N940" s="65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</row>
    <row r="941">
      <c r="A941" s="60" t="s">
        <v>1034</v>
      </c>
      <c r="B941" s="63"/>
      <c r="C941" s="64"/>
      <c r="D941" s="22"/>
      <c r="E941" s="60"/>
      <c r="F941" s="60"/>
      <c r="G941" s="22"/>
      <c r="H941" s="22"/>
      <c r="I941" s="14"/>
      <c r="J941" s="60"/>
      <c r="K941" s="64"/>
      <c r="L941" s="22"/>
      <c r="M941" s="22"/>
      <c r="N941" s="65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</row>
    <row r="942">
      <c r="A942" s="60" t="s">
        <v>1034</v>
      </c>
      <c r="B942" s="63"/>
      <c r="C942" s="64"/>
      <c r="D942" s="22"/>
      <c r="E942" s="60"/>
      <c r="F942" s="60"/>
      <c r="G942" s="22"/>
      <c r="H942" s="22"/>
      <c r="I942" s="14"/>
      <c r="J942" s="60"/>
      <c r="K942" s="64"/>
      <c r="L942" s="22"/>
      <c r="M942" s="22"/>
      <c r="N942" s="65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</row>
    <row r="943">
      <c r="A943" s="60" t="s">
        <v>1034</v>
      </c>
      <c r="B943" s="63"/>
      <c r="C943" s="64"/>
      <c r="D943" s="22"/>
      <c r="E943" s="60"/>
      <c r="F943" s="60"/>
      <c r="G943" s="22"/>
      <c r="H943" s="22"/>
      <c r="I943" s="14"/>
      <c r="J943" s="60"/>
      <c r="K943" s="64"/>
      <c r="L943" s="22"/>
      <c r="M943" s="22"/>
      <c r="N943" s="65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</row>
    <row r="944">
      <c r="A944" s="60" t="s">
        <v>1034</v>
      </c>
      <c r="B944" s="63"/>
      <c r="C944" s="64"/>
      <c r="D944" s="22"/>
      <c r="E944" s="60"/>
      <c r="F944" s="60"/>
      <c r="G944" s="22"/>
      <c r="H944" s="22"/>
      <c r="I944" s="14"/>
      <c r="J944" s="60"/>
      <c r="K944" s="64"/>
      <c r="L944" s="22"/>
      <c r="M944" s="22"/>
      <c r="N944" s="65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</row>
    <row r="945">
      <c r="A945" s="60" t="s">
        <v>1034</v>
      </c>
      <c r="B945" s="63"/>
      <c r="C945" s="64"/>
      <c r="D945" s="22"/>
      <c r="E945" s="60"/>
      <c r="F945" s="60"/>
      <c r="G945" s="22"/>
      <c r="H945" s="22"/>
      <c r="I945" s="14"/>
      <c r="J945" s="60"/>
      <c r="K945" s="64"/>
      <c r="L945" s="22"/>
      <c r="M945" s="22"/>
      <c r="N945" s="65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</row>
    <row r="946">
      <c r="A946" s="60" t="s">
        <v>1034</v>
      </c>
      <c r="B946" s="63"/>
      <c r="C946" s="64"/>
      <c r="D946" s="22"/>
      <c r="E946" s="60"/>
      <c r="F946" s="60"/>
      <c r="G946" s="22"/>
      <c r="H946" s="22"/>
      <c r="I946" s="14"/>
      <c r="J946" s="60"/>
      <c r="K946" s="64"/>
      <c r="L946" s="22"/>
      <c r="M946" s="22"/>
      <c r="N946" s="65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</row>
    <row r="947">
      <c r="A947" s="60" t="s">
        <v>1034</v>
      </c>
      <c r="B947" s="63"/>
      <c r="C947" s="64"/>
      <c r="D947" s="22"/>
      <c r="E947" s="60"/>
      <c r="F947" s="60"/>
      <c r="G947" s="22"/>
      <c r="H947" s="22"/>
      <c r="I947" s="14"/>
      <c r="J947" s="60"/>
      <c r="K947" s="64"/>
      <c r="L947" s="22"/>
      <c r="M947" s="22"/>
      <c r="N947" s="65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</row>
    <row r="948">
      <c r="A948" s="60" t="s">
        <v>1034</v>
      </c>
      <c r="B948" s="63"/>
      <c r="C948" s="64"/>
      <c r="D948" s="22"/>
      <c r="E948" s="60"/>
      <c r="F948" s="60"/>
      <c r="G948" s="22"/>
      <c r="H948" s="22"/>
      <c r="I948" s="14"/>
      <c r="J948" s="60"/>
      <c r="K948" s="64"/>
      <c r="L948" s="22"/>
      <c r="M948" s="22"/>
      <c r="N948" s="65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</row>
    <row r="949">
      <c r="A949" s="60" t="s">
        <v>1034</v>
      </c>
      <c r="B949" s="63"/>
      <c r="C949" s="64"/>
      <c r="D949" s="22"/>
      <c r="E949" s="60"/>
      <c r="F949" s="60"/>
      <c r="G949" s="22"/>
      <c r="H949" s="22"/>
      <c r="I949" s="14"/>
      <c r="J949" s="60"/>
      <c r="K949" s="64"/>
      <c r="L949" s="22"/>
      <c r="M949" s="22"/>
      <c r="N949" s="65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</row>
    <row r="950">
      <c r="A950" s="60" t="s">
        <v>1034</v>
      </c>
      <c r="B950" s="63"/>
      <c r="C950" s="64"/>
      <c r="D950" s="22"/>
      <c r="E950" s="60"/>
      <c r="F950" s="60"/>
      <c r="G950" s="22"/>
      <c r="H950" s="22"/>
      <c r="I950" s="14"/>
      <c r="J950" s="60"/>
      <c r="K950" s="64"/>
      <c r="L950" s="22"/>
      <c r="M950" s="22"/>
      <c r="N950" s="65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</row>
    <row r="951">
      <c r="A951" s="60" t="s">
        <v>1034</v>
      </c>
      <c r="B951" s="63"/>
      <c r="C951" s="64"/>
      <c r="D951" s="22"/>
      <c r="E951" s="60"/>
      <c r="F951" s="60"/>
      <c r="G951" s="22"/>
      <c r="H951" s="22"/>
      <c r="I951" s="14"/>
      <c r="J951" s="60"/>
      <c r="K951" s="64"/>
      <c r="L951" s="22"/>
      <c r="M951" s="22"/>
      <c r="N951" s="65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</row>
    <row r="952">
      <c r="A952" s="60" t="s">
        <v>1034</v>
      </c>
      <c r="B952" s="63"/>
      <c r="C952" s="64"/>
      <c r="D952" s="22"/>
      <c r="E952" s="60"/>
      <c r="F952" s="60"/>
      <c r="G952" s="22"/>
      <c r="H952" s="22"/>
      <c r="I952" s="14"/>
      <c r="J952" s="60"/>
      <c r="K952" s="64"/>
      <c r="L952" s="22"/>
      <c r="M952" s="22"/>
      <c r="N952" s="65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</row>
    <row r="953">
      <c r="A953" s="60" t="s">
        <v>1034</v>
      </c>
      <c r="B953" s="63"/>
      <c r="C953" s="64"/>
      <c r="D953" s="22"/>
      <c r="E953" s="60"/>
      <c r="F953" s="60"/>
      <c r="G953" s="22"/>
      <c r="H953" s="22"/>
      <c r="I953" s="14"/>
      <c r="J953" s="60"/>
      <c r="K953" s="64"/>
      <c r="L953" s="22"/>
      <c r="M953" s="22"/>
      <c r="N953" s="65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</row>
    <row r="954">
      <c r="A954" s="60" t="s">
        <v>1034</v>
      </c>
      <c r="B954" s="63"/>
      <c r="C954" s="64"/>
      <c r="D954" s="22"/>
      <c r="E954" s="60"/>
      <c r="F954" s="60"/>
      <c r="G954" s="22"/>
      <c r="H954" s="22"/>
      <c r="I954" s="14"/>
      <c r="J954" s="60"/>
      <c r="K954" s="64"/>
      <c r="L954" s="22"/>
      <c r="M954" s="22"/>
      <c r="N954" s="65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</row>
    <row r="955">
      <c r="A955" s="60" t="s">
        <v>1034</v>
      </c>
      <c r="B955" s="63"/>
      <c r="C955" s="64"/>
      <c r="D955" s="22"/>
      <c r="E955" s="60"/>
      <c r="F955" s="60"/>
      <c r="G955" s="22"/>
      <c r="H955" s="22"/>
      <c r="I955" s="14"/>
      <c r="J955" s="60"/>
      <c r="K955" s="64"/>
      <c r="L955" s="22"/>
      <c r="M955" s="22"/>
      <c r="N955" s="65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</row>
    <row r="956">
      <c r="A956" s="60" t="s">
        <v>1034</v>
      </c>
      <c r="B956" s="63"/>
      <c r="C956" s="64"/>
      <c r="D956" s="22"/>
      <c r="E956" s="60"/>
      <c r="F956" s="60"/>
      <c r="G956" s="22"/>
      <c r="H956" s="22"/>
      <c r="I956" s="14"/>
      <c r="J956" s="60"/>
      <c r="K956" s="64"/>
      <c r="L956" s="22"/>
      <c r="M956" s="22"/>
      <c r="N956" s="65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</row>
    <row r="957">
      <c r="A957" s="60" t="s">
        <v>1034</v>
      </c>
      <c r="B957" s="63"/>
      <c r="C957" s="64"/>
      <c r="D957" s="22"/>
      <c r="E957" s="60"/>
      <c r="F957" s="60"/>
      <c r="G957" s="22"/>
      <c r="H957" s="22"/>
      <c r="I957" s="14"/>
      <c r="J957" s="60"/>
      <c r="K957" s="64"/>
      <c r="L957" s="22"/>
      <c r="M957" s="22"/>
      <c r="N957" s="65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</row>
    <row r="958">
      <c r="A958" s="60" t="s">
        <v>1034</v>
      </c>
      <c r="B958" s="63"/>
      <c r="C958" s="64"/>
      <c r="D958" s="22"/>
      <c r="E958" s="60"/>
      <c r="F958" s="60"/>
      <c r="G958" s="22"/>
      <c r="H958" s="22"/>
      <c r="I958" s="14"/>
      <c r="J958" s="60"/>
      <c r="K958" s="64"/>
      <c r="L958" s="22"/>
      <c r="M958" s="22"/>
      <c r="N958" s="65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</row>
    <row r="959">
      <c r="A959" s="60" t="s">
        <v>1034</v>
      </c>
      <c r="B959" s="63"/>
      <c r="C959" s="64"/>
      <c r="D959" s="22"/>
      <c r="E959" s="60"/>
      <c r="F959" s="60"/>
      <c r="G959" s="22"/>
      <c r="H959" s="22"/>
      <c r="I959" s="14"/>
      <c r="J959" s="60"/>
      <c r="K959" s="64"/>
      <c r="L959" s="22"/>
      <c r="M959" s="22"/>
      <c r="N959" s="65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</row>
    <row r="960">
      <c r="A960" s="60" t="s">
        <v>1034</v>
      </c>
      <c r="B960" s="63"/>
      <c r="C960" s="64"/>
      <c r="D960" s="22"/>
      <c r="E960" s="60"/>
      <c r="F960" s="60"/>
      <c r="G960" s="22"/>
      <c r="H960" s="22"/>
      <c r="I960" s="14"/>
      <c r="J960" s="60"/>
      <c r="K960" s="64"/>
      <c r="L960" s="22"/>
      <c r="M960" s="22"/>
      <c r="N960" s="65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</row>
    <row r="961">
      <c r="A961" s="60" t="s">
        <v>1034</v>
      </c>
      <c r="B961" s="63"/>
      <c r="C961" s="64"/>
      <c r="D961" s="22"/>
      <c r="E961" s="60"/>
      <c r="F961" s="60"/>
      <c r="G961" s="22"/>
      <c r="H961" s="22"/>
      <c r="I961" s="14"/>
      <c r="J961" s="60"/>
      <c r="K961" s="64"/>
      <c r="L961" s="22"/>
      <c r="M961" s="22"/>
      <c r="N961" s="65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</row>
    <row r="962">
      <c r="A962" s="60" t="s">
        <v>1034</v>
      </c>
      <c r="B962" s="63"/>
      <c r="C962" s="64"/>
      <c r="D962" s="22"/>
      <c r="E962" s="60"/>
      <c r="F962" s="60"/>
      <c r="G962" s="22"/>
      <c r="H962" s="22"/>
      <c r="I962" s="14"/>
      <c r="J962" s="60"/>
      <c r="K962" s="64"/>
      <c r="L962" s="22"/>
      <c r="M962" s="22"/>
      <c r="N962" s="65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</row>
    <row r="963">
      <c r="A963" s="60" t="s">
        <v>1034</v>
      </c>
      <c r="B963" s="63"/>
      <c r="C963" s="64"/>
      <c r="D963" s="22"/>
      <c r="E963" s="60"/>
      <c r="F963" s="60"/>
      <c r="G963" s="22"/>
      <c r="H963" s="22"/>
      <c r="I963" s="14"/>
      <c r="J963" s="60"/>
      <c r="K963" s="64"/>
      <c r="L963" s="22"/>
      <c r="M963" s="22"/>
      <c r="N963" s="65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</row>
    <row r="964">
      <c r="A964" s="60" t="s">
        <v>1034</v>
      </c>
      <c r="B964" s="63"/>
      <c r="C964" s="64"/>
      <c r="D964" s="22"/>
      <c r="E964" s="60"/>
      <c r="F964" s="60"/>
      <c r="G964" s="22"/>
      <c r="H964" s="22"/>
      <c r="I964" s="14"/>
      <c r="J964" s="60"/>
      <c r="K964" s="64"/>
      <c r="L964" s="22"/>
      <c r="M964" s="22"/>
      <c r="N964" s="65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</row>
    <row r="965">
      <c r="A965" s="60" t="s">
        <v>1034</v>
      </c>
      <c r="B965" s="63"/>
      <c r="C965" s="64"/>
      <c r="D965" s="22"/>
      <c r="E965" s="60"/>
      <c r="F965" s="60"/>
      <c r="G965" s="22"/>
      <c r="H965" s="22"/>
      <c r="I965" s="14"/>
      <c r="J965" s="60"/>
      <c r="K965" s="64"/>
      <c r="L965" s="22"/>
      <c r="M965" s="22"/>
      <c r="N965" s="65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</row>
    <row r="966">
      <c r="A966" s="60" t="s">
        <v>1034</v>
      </c>
      <c r="B966" s="63"/>
      <c r="C966" s="64"/>
      <c r="D966" s="22"/>
      <c r="E966" s="60"/>
      <c r="F966" s="60"/>
      <c r="G966" s="22"/>
      <c r="H966" s="22"/>
      <c r="I966" s="14"/>
      <c r="J966" s="60"/>
      <c r="K966" s="64"/>
      <c r="L966" s="22"/>
      <c r="M966" s="22"/>
      <c r="N966" s="65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</row>
    <row r="967">
      <c r="A967" s="60" t="s">
        <v>1034</v>
      </c>
      <c r="B967" s="63"/>
      <c r="C967" s="64"/>
      <c r="D967" s="22"/>
      <c r="E967" s="60"/>
      <c r="F967" s="60"/>
      <c r="G967" s="22"/>
      <c r="H967" s="22"/>
      <c r="I967" s="14"/>
      <c r="J967" s="60"/>
      <c r="K967" s="64"/>
      <c r="L967" s="22"/>
      <c r="M967" s="22"/>
      <c r="N967" s="65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</row>
    <row r="968">
      <c r="A968" s="60" t="s">
        <v>1034</v>
      </c>
      <c r="B968" s="63"/>
      <c r="C968" s="64"/>
      <c r="D968" s="22"/>
      <c r="E968" s="60"/>
      <c r="F968" s="60"/>
      <c r="G968" s="22"/>
      <c r="H968" s="22"/>
      <c r="I968" s="14"/>
      <c r="J968" s="60"/>
      <c r="K968" s="64"/>
      <c r="L968" s="22"/>
      <c r="M968" s="22"/>
      <c r="N968" s="65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</row>
    <row r="969">
      <c r="A969" s="60" t="s">
        <v>1034</v>
      </c>
      <c r="B969" s="63"/>
      <c r="C969" s="64"/>
      <c r="D969" s="22"/>
      <c r="E969" s="60"/>
      <c r="F969" s="60"/>
      <c r="G969" s="22"/>
      <c r="H969" s="22"/>
      <c r="I969" s="14"/>
      <c r="J969" s="60"/>
      <c r="K969" s="64"/>
      <c r="L969" s="22"/>
      <c r="M969" s="22"/>
      <c r="N969" s="65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</row>
    <row r="970">
      <c r="A970" s="60" t="s">
        <v>1034</v>
      </c>
      <c r="B970" s="63"/>
      <c r="C970" s="64"/>
      <c r="D970" s="22"/>
      <c r="E970" s="60"/>
      <c r="F970" s="60"/>
      <c r="G970" s="22"/>
      <c r="H970" s="22"/>
      <c r="I970" s="14"/>
      <c r="J970" s="60"/>
      <c r="K970" s="64"/>
      <c r="L970" s="22"/>
      <c r="M970" s="22"/>
      <c r="N970" s="65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</row>
    <row r="971">
      <c r="A971" s="60" t="s">
        <v>1034</v>
      </c>
      <c r="B971" s="63"/>
      <c r="C971" s="64"/>
      <c r="D971" s="22"/>
      <c r="E971" s="60"/>
      <c r="F971" s="60"/>
      <c r="G971" s="22"/>
      <c r="H971" s="22"/>
      <c r="I971" s="14"/>
      <c r="J971" s="60"/>
      <c r="K971" s="64"/>
      <c r="L971" s="22"/>
      <c r="M971" s="22"/>
      <c r="N971" s="65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</row>
    <row r="972">
      <c r="A972" s="60" t="s">
        <v>1034</v>
      </c>
      <c r="B972" s="63"/>
      <c r="C972" s="64"/>
      <c r="D972" s="22"/>
      <c r="E972" s="60"/>
      <c r="F972" s="60"/>
      <c r="G972" s="22"/>
      <c r="H972" s="22"/>
      <c r="I972" s="14"/>
      <c r="J972" s="60"/>
      <c r="K972" s="64"/>
      <c r="L972" s="22"/>
      <c r="M972" s="22"/>
      <c r="N972" s="65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</row>
    <row r="973">
      <c r="A973" s="60" t="s">
        <v>1034</v>
      </c>
      <c r="B973" s="63"/>
      <c r="C973" s="64"/>
      <c r="D973" s="22"/>
      <c r="E973" s="60"/>
      <c r="F973" s="60"/>
      <c r="G973" s="22"/>
      <c r="H973" s="22"/>
      <c r="I973" s="14"/>
      <c r="J973" s="60"/>
      <c r="K973" s="64"/>
      <c r="L973" s="22"/>
      <c r="M973" s="22"/>
      <c r="N973" s="65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</row>
    <row r="974">
      <c r="A974" s="60" t="s">
        <v>1034</v>
      </c>
      <c r="B974" s="63"/>
      <c r="C974" s="64"/>
      <c r="D974" s="22"/>
      <c r="E974" s="60"/>
      <c r="F974" s="60"/>
      <c r="G974" s="22"/>
      <c r="H974" s="22"/>
      <c r="I974" s="14"/>
      <c r="J974" s="60"/>
      <c r="K974" s="64"/>
      <c r="L974" s="22"/>
      <c r="M974" s="22"/>
      <c r="N974" s="65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</row>
    <row r="975">
      <c r="A975" s="60" t="s">
        <v>1034</v>
      </c>
      <c r="B975" s="63"/>
      <c r="C975" s="64"/>
      <c r="D975" s="22"/>
      <c r="E975" s="60"/>
      <c r="F975" s="60"/>
      <c r="G975" s="22"/>
      <c r="H975" s="22"/>
      <c r="I975" s="14"/>
      <c r="J975" s="60"/>
      <c r="K975" s="64"/>
      <c r="L975" s="22"/>
      <c r="M975" s="22"/>
      <c r="N975" s="65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</row>
    <row r="976">
      <c r="A976" s="60" t="s">
        <v>1034</v>
      </c>
      <c r="B976" s="63"/>
      <c r="C976" s="64"/>
      <c r="D976" s="22"/>
      <c r="E976" s="60"/>
      <c r="F976" s="60"/>
      <c r="G976" s="22"/>
      <c r="H976" s="22"/>
      <c r="I976" s="14"/>
      <c r="J976" s="60"/>
      <c r="K976" s="64"/>
      <c r="L976" s="22"/>
      <c r="M976" s="22"/>
      <c r="N976" s="65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</row>
    <row r="977">
      <c r="A977" s="60" t="s">
        <v>1034</v>
      </c>
      <c r="B977" s="63"/>
      <c r="C977" s="64"/>
      <c r="D977" s="22"/>
      <c r="E977" s="60"/>
      <c r="F977" s="60"/>
      <c r="G977" s="22"/>
      <c r="H977" s="22"/>
      <c r="I977" s="14"/>
      <c r="J977" s="60"/>
      <c r="K977" s="64"/>
      <c r="L977" s="22"/>
      <c r="M977" s="22"/>
      <c r="N977" s="65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</row>
    <row r="978">
      <c r="A978" s="60" t="s">
        <v>1034</v>
      </c>
      <c r="B978" s="63"/>
      <c r="C978" s="64"/>
      <c r="D978" s="22"/>
      <c r="E978" s="60"/>
      <c r="F978" s="60"/>
      <c r="G978" s="22"/>
      <c r="H978" s="22"/>
      <c r="I978" s="14"/>
      <c r="J978" s="60"/>
      <c r="K978" s="64"/>
      <c r="L978" s="22"/>
      <c r="M978" s="22"/>
      <c r="N978" s="65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</row>
    <row r="979">
      <c r="A979" s="60" t="s">
        <v>1034</v>
      </c>
      <c r="B979" s="63"/>
      <c r="C979" s="64"/>
      <c r="D979" s="22"/>
      <c r="E979" s="60"/>
      <c r="F979" s="60"/>
      <c r="G979" s="22"/>
      <c r="H979" s="22"/>
      <c r="I979" s="14"/>
      <c r="J979" s="60"/>
      <c r="K979" s="64"/>
      <c r="L979" s="22"/>
      <c r="M979" s="22"/>
      <c r="N979" s="65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</row>
    <row r="980">
      <c r="A980" s="60" t="s">
        <v>1034</v>
      </c>
      <c r="B980" s="63"/>
      <c r="C980" s="64"/>
      <c r="D980" s="22"/>
      <c r="E980" s="60"/>
      <c r="F980" s="60"/>
      <c r="G980" s="22"/>
      <c r="H980" s="22"/>
      <c r="I980" s="14"/>
      <c r="J980" s="60"/>
      <c r="K980" s="64"/>
      <c r="L980" s="22"/>
      <c r="M980" s="22"/>
      <c r="N980" s="65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</row>
    <row r="981">
      <c r="A981" s="60" t="s">
        <v>1034</v>
      </c>
      <c r="B981" s="63"/>
      <c r="C981" s="64"/>
      <c r="D981" s="22"/>
      <c r="E981" s="60"/>
      <c r="F981" s="60"/>
      <c r="G981" s="22"/>
      <c r="H981" s="22"/>
      <c r="I981" s="14"/>
      <c r="J981" s="60"/>
      <c r="K981" s="64"/>
      <c r="L981" s="22"/>
      <c r="M981" s="22"/>
      <c r="N981" s="65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</row>
    <row r="982">
      <c r="A982" s="60" t="s">
        <v>1034</v>
      </c>
      <c r="B982" s="63"/>
      <c r="C982" s="64"/>
      <c r="D982" s="22"/>
      <c r="E982" s="60"/>
      <c r="F982" s="60"/>
      <c r="G982" s="22"/>
      <c r="H982" s="22"/>
      <c r="I982" s="14"/>
      <c r="J982" s="60"/>
      <c r="K982" s="64"/>
      <c r="L982" s="22"/>
      <c r="M982" s="22"/>
      <c r="N982" s="65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</row>
    <row r="983">
      <c r="A983" s="60" t="s">
        <v>1034</v>
      </c>
      <c r="B983" s="63"/>
      <c r="C983" s="64"/>
      <c r="D983" s="22"/>
      <c r="E983" s="60"/>
      <c r="F983" s="60"/>
      <c r="G983" s="22"/>
      <c r="H983" s="22"/>
      <c r="I983" s="14"/>
      <c r="J983" s="60"/>
      <c r="K983" s="64"/>
      <c r="L983" s="22"/>
      <c r="M983" s="22"/>
      <c r="N983" s="65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</row>
    <row r="984">
      <c r="A984" s="60" t="s">
        <v>1034</v>
      </c>
      <c r="B984" s="63"/>
      <c r="C984" s="64"/>
      <c r="D984" s="22"/>
      <c r="E984" s="60"/>
      <c r="F984" s="60"/>
      <c r="G984" s="22"/>
      <c r="H984" s="22"/>
      <c r="I984" s="14"/>
      <c r="J984" s="60"/>
      <c r="K984" s="64"/>
      <c r="L984" s="22"/>
      <c r="M984" s="22"/>
      <c r="N984" s="65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</row>
    <row r="985">
      <c r="A985" s="60" t="s">
        <v>1034</v>
      </c>
      <c r="B985" s="63"/>
      <c r="C985" s="64"/>
      <c r="D985" s="22"/>
      <c r="E985" s="60"/>
      <c r="F985" s="60"/>
      <c r="G985" s="22"/>
      <c r="H985" s="22"/>
      <c r="I985" s="14"/>
      <c r="J985" s="60"/>
      <c r="K985" s="64"/>
      <c r="L985" s="22"/>
      <c r="M985" s="22"/>
      <c r="N985" s="65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</row>
    <row r="986">
      <c r="A986" s="60" t="s">
        <v>1034</v>
      </c>
      <c r="B986" s="63"/>
      <c r="C986" s="64"/>
      <c r="D986" s="22"/>
      <c r="E986" s="60"/>
      <c r="F986" s="60"/>
      <c r="G986" s="22"/>
      <c r="H986" s="22"/>
      <c r="I986" s="14"/>
      <c r="J986" s="60"/>
      <c r="K986" s="64"/>
      <c r="L986" s="22"/>
      <c r="M986" s="22"/>
      <c r="N986" s="65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</row>
  </sheetData>
  <mergeCells count="1">
    <mergeCell ref="X538:X544"/>
  </mergeCells>
  <dataValidations>
    <dataValidation type="list" allowBlank="1" showErrorMessage="1" sqref="I2:I986">
      <formula1>"CORE,ITP,ITS,Finance/Marketing/BDA"</formula1>
    </dataValidation>
  </dataValidations>
  <hyperlinks>
    <hyperlink r:id="rId1" ref="V30"/>
    <hyperlink r:id="rId2" ref="Y43"/>
    <hyperlink r:id="rId3" ref="Y44"/>
    <hyperlink r:id="rId4" ref="Y45"/>
    <hyperlink r:id="rId5" ref="Y46"/>
    <hyperlink r:id="rId6" ref="Y47"/>
    <hyperlink r:id="rId7" ref="X66"/>
    <hyperlink r:id="rId8" ref="X67"/>
    <hyperlink r:id="rId9" ref="X68"/>
    <hyperlink r:id="rId10" ref="X69"/>
    <hyperlink r:id="rId11" ref="X70"/>
    <hyperlink r:id="rId12" ref="X71"/>
    <hyperlink r:id="rId13" ref="X95"/>
    <hyperlink r:id="rId14" ref="X96"/>
    <hyperlink r:id="rId15" ref="X97"/>
    <hyperlink r:id="rId16" ref="V104"/>
    <hyperlink r:id="rId17" ref="V105"/>
    <hyperlink r:id="rId18" ref="X163"/>
    <hyperlink r:id="rId19" ref="V169"/>
    <hyperlink r:id="rId20" ref="V170"/>
    <hyperlink r:id="rId21" ref="V171"/>
    <hyperlink r:id="rId22" ref="V172"/>
    <hyperlink r:id="rId23" ref="Y178"/>
    <hyperlink r:id="rId24" ref="Y179"/>
    <hyperlink r:id="rId25" ref="X181"/>
    <hyperlink r:id="rId26" ref="X182"/>
    <hyperlink r:id="rId27" ref="X183"/>
    <hyperlink r:id="rId28" ref="X184"/>
    <hyperlink r:id="rId29" ref="X185"/>
    <hyperlink r:id="rId30" ref="X186"/>
    <hyperlink r:id="rId31" ref="X187"/>
    <hyperlink r:id="rId32" ref="X188"/>
    <hyperlink r:id="rId33" ref="X189"/>
    <hyperlink r:id="rId34" ref="X190"/>
    <hyperlink r:id="rId35" ref="X191"/>
    <hyperlink r:id="rId36" ref="X192"/>
    <hyperlink r:id="rId37" ref="X193"/>
    <hyperlink r:id="rId38" ref="X194"/>
    <hyperlink r:id="rId39" ref="X195"/>
    <hyperlink r:id="rId40" ref="X196"/>
    <hyperlink r:id="rId41" ref="X197"/>
    <hyperlink r:id="rId42" ref="X198"/>
    <hyperlink r:id="rId43" ref="X199"/>
    <hyperlink r:id="rId44" ref="X200"/>
    <hyperlink r:id="rId45" ref="X201"/>
    <hyperlink r:id="rId46" ref="X202"/>
    <hyperlink r:id="rId47" ref="X203"/>
    <hyperlink r:id="rId48" ref="X204"/>
    <hyperlink r:id="rId49" ref="X205"/>
    <hyperlink r:id="rId50" ref="X206"/>
    <hyperlink r:id="rId51" ref="X207"/>
    <hyperlink r:id="rId52" ref="X208"/>
    <hyperlink r:id="rId53" ref="X209"/>
    <hyperlink r:id="rId54" ref="X210"/>
    <hyperlink r:id="rId55" ref="X211"/>
    <hyperlink r:id="rId56" ref="X212"/>
    <hyperlink r:id="rId57" ref="X213"/>
    <hyperlink r:id="rId58" ref="X214"/>
    <hyperlink r:id="rId59" ref="X215"/>
    <hyperlink r:id="rId60" ref="X216"/>
    <hyperlink r:id="rId61" ref="X217"/>
    <hyperlink r:id="rId62" ref="X218"/>
    <hyperlink r:id="rId63" ref="X219"/>
    <hyperlink r:id="rId64" ref="X220"/>
    <hyperlink r:id="rId65" ref="X221"/>
    <hyperlink r:id="rId66" ref="X222"/>
    <hyperlink r:id="rId67" ref="X223"/>
    <hyperlink r:id="rId68" ref="X224"/>
    <hyperlink r:id="rId69" ref="X225"/>
    <hyperlink r:id="rId70" ref="X226"/>
    <hyperlink r:id="rId71" ref="X227"/>
    <hyperlink r:id="rId72" ref="X228"/>
    <hyperlink r:id="rId73" ref="X229"/>
    <hyperlink r:id="rId74" ref="X230"/>
    <hyperlink r:id="rId75" ref="X231"/>
    <hyperlink r:id="rId76" ref="X232"/>
    <hyperlink r:id="rId77" ref="X233"/>
    <hyperlink r:id="rId78" ref="X234"/>
    <hyperlink r:id="rId79" ref="X235"/>
    <hyperlink r:id="rId80" ref="X236"/>
    <hyperlink r:id="rId81" ref="X237"/>
    <hyperlink r:id="rId82" ref="X238"/>
    <hyperlink r:id="rId83" ref="X239"/>
    <hyperlink r:id="rId84" ref="V245"/>
    <hyperlink r:id="rId85" ref="V246"/>
    <hyperlink r:id="rId86" ref="V247"/>
    <hyperlink r:id="rId87" ref="V248"/>
    <hyperlink r:id="rId88" ref="V249"/>
    <hyperlink r:id="rId89" ref="X250"/>
    <hyperlink r:id="rId90" ref="X420"/>
    <hyperlink r:id="rId91" ref="X426"/>
    <hyperlink r:id="rId92" ref="X427"/>
    <hyperlink r:id="rId93" ref="X428"/>
    <hyperlink r:id="rId94" ref="X429"/>
    <hyperlink r:id="rId95" ref="X430"/>
    <hyperlink r:id="rId96" ref="V510"/>
    <hyperlink r:id="rId97" ref="V511"/>
    <hyperlink r:id="rId98" ref="V512"/>
    <hyperlink r:id="rId99" ref="V513"/>
    <hyperlink r:id="rId100" ref="V514"/>
    <hyperlink r:id="rId101" ref="V515"/>
    <hyperlink r:id="rId102" ref="V516"/>
    <hyperlink r:id="rId103" ref="Y517"/>
    <hyperlink r:id="rId104" ref="Y518"/>
    <hyperlink r:id="rId105" ref="Y519"/>
    <hyperlink r:id="rId106" ref="Y520"/>
    <hyperlink r:id="rId107" ref="X538"/>
  </hyperlinks>
  <drawing r:id="rId108"/>
  <tableParts count="1">
    <tablePart r:id="rId1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23.63"/>
    <col customWidth="1" min="3" max="3" width="14.0"/>
    <col customWidth="1" min="4" max="4" width="32.0"/>
    <col customWidth="1" min="5" max="5" width="77.25"/>
  </cols>
  <sheetData>
    <row r="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</row>
    <row r="3" ht="23.25" customHeight="1">
      <c r="A3" s="3" t="s">
        <v>6</v>
      </c>
      <c r="B3" s="3" t="s">
        <v>7</v>
      </c>
      <c r="C3" s="3" t="s">
        <v>8</v>
      </c>
      <c r="D3" s="5" t="s">
        <v>10</v>
      </c>
      <c r="E3" s="3" t="s">
        <v>11</v>
      </c>
    </row>
    <row r="4" ht="23.25" customHeight="1">
      <c r="A4" s="3" t="s">
        <v>12</v>
      </c>
      <c r="B4" s="3" t="s">
        <v>14</v>
      </c>
      <c r="C4" s="3" t="s">
        <v>8</v>
      </c>
      <c r="D4" s="5" t="s">
        <v>10</v>
      </c>
      <c r="E4" s="3" t="s">
        <v>11</v>
      </c>
    </row>
    <row r="5" ht="23.25" customHeight="1">
      <c r="A5" s="3" t="s">
        <v>15</v>
      </c>
      <c r="B5" s="3" t="s">
        <v>17</v>
      </c>
      <c r="C5" s="3" t="s">
        <v>8</v>
      </c>
      <c r="D5" s="5" t="s">
        <v>10</v>
      </c>
      <c r="E5" s="3" t="s">
        <v>11</v>
      </c>
    </row>
    <row r="6" ht="23.25" customHeight="1">
      <c r="A6" s="3" t="s">
        <v>18</v>
      </c>
      <c r="B6" s="3" t="s">
        <v>20</v>
      </c>
      <c r="C6" s="3" t="s">
        <v>8</v>
      </c>
      <c r="D6" s="5" t="s">
        <v>10</v>
      </c>
      <c r="E6" s="3" t="s">
        <v>11</v>
      </c>
    </row>
    <row r="7" ht="23.25" customHeight="1">
      <c r="A7" s="3" t="s">
        <v>22</v>
      </c>
      <c r="B7" s="3" t="s">
        <v>23</v>
      </c>
      <c r="C7" s="3" t="s">
        <v>24</v>
      </c>
      <c r="D7" s="8" t="s">
        <v>26</v>
      </c>
      <c r="E7" s="3" t="s">
        <v>29</v>
      </c>
    </row>
    <row r="8" ht="23.25" customHeight="1">
      <c r="A8" s="3" t="s">
        <v>31</v>
      </c>
      <c r="B8" s="3" t="s">
        <v>32</v>
      </c>
      <c r="C8" s="3" t="s">
        <v>24</v>
      </c>
      <c r="D8" s="8" t="s">
        <v>26</v>
      </c>
      <c r="E8" s="3" t="s">
        <v>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88"/>
  </cols>
  <sheetData>
    <row r="1">
      <c r="C1" s="10" t="s">
        <v>1</v>
      </c>
      <c r="D1" s="10" t="s">
        <v>47</v>
      </c>
      <c r="E1" s="10" t="s">
        <v>48</v>
      </c>
    </row>
    <row r="2">
      <c r="C2" s="11">
        <v>1.0</v>
      </c>
      <c r="D2" s="12" t="s">
        <v>49</v>
      </c>
      <c r="E2" s="11">
        <f>COUNTIF(Offers!D:D,D2)</f>
        <v>64</v>
      </c>
    </row>
    <row r="3">
      <c r="C3" s="11">
        <v>2.0</v>
      </c>
      <c r="D3" s="13" t="s">
        <v>50</v>
      </c>
      <c r="E3" s="11">
        <f>COUNTIF(Offers!D:D,D3)</f>
        <v>32</v>
      </c>
    </row>
    <row r="4">
      <c r="C4" s="11">
        <v>3.0</v>
      </c>
      <c r="D4" s="13" t="s">
        <v>51</v>
      </c>
      <c r="E4" s="11">
        <f>COUNTIF(Offers!D:D,D4)</f>
        <v>27</v>
      </c>
    </row>
    <row r="5">
      <c r="C5" s="11">
        <v>4.0</v>
      </c>
      <c r="D5" s="13" t="s">
        <v>52</v>
      </c>
      <c r="E5" s="11">
        <f>COUNTIF(Offers!D:D,D5)</f>
        <v>20</v>
      </c>
    </row>
    <row r="6">
      <c r="C6" s="11">
        <v>5.0</v>
      </c>
      <c r="D6" s="13" t="s">
        <v>53</v>
      </c>
      <c r="E6" s="11">
        <f>COUNTIF(Offers!D:D,D6)</f>
        <v>107</v>
      </c>
    </row>
    <row r="7">
      <c r="C7" s="11">
        <v>6.0</v>
      </c>
      <c r="D7" s="13" t="s">
        <v>55</v>
      </c>
      <c r="E7" s="11">
        <f>COUNTIF(Offers!D:D,D7)</f>
        <v>21</v>
      </c>
    </row>
    <row r="8">
      <c r="C8" s="11">
        <v>7.0</v>
      </c>
      <c r="D8" s="13" t="s">
        <v>56</v>
      </c>
      <c r="E8" s="11">
        <f>COUNTIF(Offers!D:D,D8)</f>
        <v>16</v>
      </c>
    </row>
    <row r="9">
      <c r="C9" s="11">
        <v>8.0</v>
      </c>
      <c r="D9" s="13" t="s">
        <v>57</v>
      </c>
      <c r="E9" s="11">
        <f>COUNTIF(Offers!D:D,D9)</f>
        <v>64</v>
      </c>
    </row>
    <row r="10">
      <c r="C10" s="11">
        <v>9.0</v>
      </c>
      <c r="D10" s="13" t="s">
        <v>61</v>
      </c>
      <c r="E10" s="11">
        <f>COUNTIF(Offers!D:D,D10)</f>
        <v>121</v>
      </c>
    </row>
    <row r="11">
      <c r="C11" s="11">
        <v>10.0</v>
      </c>
      <c r="D11" s="13" t="s">
        <v>64</v>
      </c>
      <c r="E11" s="11">
        <f>COUNTIF(Offers!D:D,D11)</f>
        <v>41</v>
      </c>
    </row>
    <row r="12">
      <c r="C12" s="11">
        <v>11.0</v>
      </c>
      <c r="D12" s="13" t="s">
        <v>66</v>
      </c>
      <c r="E12" s="11">
        <f>COUNTIF(Offers!D:D,D12)</f>
        <v>28</v>
      </c>
    </row>
    <row r="13">
      <c r="C13" s="11">
        <v>12.0</v>
      </c>
      <c r="D13" s="13" t="s">
        <v>76</v>
      </c>
      <c r="E13" s="11">
        <f>COUNTIF(Offers!D:D,D13)</f>
        <v>51</v>
      </c>
    </row>
    <row r="14">
      <c r="C14" s="11">
        <v>13.0</v>
      </c>
      <c r="D14" s="13" t="s">
        <v>77</v>
      </c>
      <c r="E14" s="11">
        <f>COUNTIF(Offers!D:D,D14)</f>
        <v>59</v>
      </c>
    </row>
    <row r="15">
      <c r="C15" s="11">
        <v>14.0</v>
      </c>
      <c r="D15" s="13" t="s">
        <v>79</v>
      </c>
      <c r="E15" s="11">
        <f>COUNTIF(Offers!D:D,D15)</f>
        <v>8</v>
      </c>
    </row>
    <row r="16">
      <c r="C16" s="11">
        <v>15.0</v>
      </c>
      <c r="D16" s="13" t="s">
        <v>80</v>
      </c>
      <c r="E16" s="11">
        <f>COUNTIF(Offers!D:D,D16)</f>
        <v>6</v>
      </c>
    </row>
    <row r="17">
      <c r="C17" s="11">
        <v>16.0</v>
      </c>
      <c r="D17" s="13" t="s">
        <v>82</v>
      </c>
      <c r="E17" s="11">
        <f>COUNTIF(Offers!D:D,D17)</f>
        <v>32</v>
      </c>
    </row>
    <row r="18">
      <c r="C18" s="11">
        <v>17.0</v>
      </c>
      <c r="D18" s="13" t="s">
        <v>83</v>
      </c>
      <c r="E18" s="11">
        <f>COUNTIF(Offers!D:D,D18)</f>
        <v>7</v>
      </c>
    </row>
    <row r="19">
      <c r="C19" s="11">
        <v>18.0</v>
      </c>
      <c r="D19" s="13" t="s">
        <v>84</v>
      </c>
      <c r="E19" s="11">
        <f>COUNTIF(Offers!D:D,D20)</f>
        <v>17</v>
      </c>
    </row>
    <row r="20">
      <c r="C20" s="11">
        <v>19.0</v>
      </c>
      <c r="D20" s="13" t="s">
        <v>86</v>
      </c>
      <c r="E20" s="11">
        <f>COUNTIF(Offers!D:D,#REF!)</f>
        <v>0</v>
      </c>
    </row>
    <row r="21">
      <c r="C21" s="11">
        <v>20.0</v>
      </c>
      <c r="D21" s="26" t="s">
        <v>87</v>
      </c>
      <c r="E21" s="11">
        <f>COUNTIF(Offers!D:D,D21)</f>
        <v>0</v>
      </c>
    </row>
    <row r="22">
      <c r="C22" s="11">
        <v>21.0</v>
      </c>
      <c r="D22" s="26" t="s">
        <v>89</v>
      </c>
      <c r="E22" s="11">
        <f>COUNTIF(Offers!D:D,D22)</f>
        <v>0</v>
      </c>
    </row>
    <row r="23">
      <c r="C23" s="11">
        <v>22.0</v>
      </c>
      <c r="D23" s="23" t="s">
        <v>112</v>
      </c>
      <c r="E23" s="11">
        <f>COUNTIF(Offers!D:D,D23)</f>
        <v>0</v>
      </c>
    </row>
    <row r="24">
      <c r="C24" s="30" t="s">
        <v>120</v>
      </c>
      <c r="D24" s="31"/>
      <c r="E24" s="10">
        <f>SUM(E2:E23)</f>
        <v>721</v>
      </c>
    </row>
  </sheetData>
  <mergeCells count="1">
    <mergeCell ref="C24:D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0" max="20" width="25.5"/>
  </cols>
  <sheetData>
    <row r="1">
      <c r="A1" s="18" t="s">
        <v>16</v>
      </c>
      <c r="B1" s="19" t="s">
        <v>19</v>
      </c>
      <c r="C1" s="20"/>
      <c r="D1" s="20"/>
      <c r="E1" s="19" t="s">
        <v>65</v>
      </c>
      <c r="F1" s="20"/>
      <c r="G1" s="20"/>
      <c r="H1" s="19" t="s">
        <v>67</v>
      </c>
      <c r="I1" s="20"/>
      <c r="J1" s="20"/>
      <c r="K1" s="19" t="s">
        <v>68</v>
      </c>
      <c r="L1" s="20"/>
      <c r="M1" s="20"/>
      <c r="N1" s="19" t="s">
        <v>69</v>
      </c>
      <c r="O1" s="20"/>
      <c r="P1" s="20"/>
      <c r="Q1" s="19" t="s">
        <v>70</v>
      </c>
      <c r="R1" s="20"/>
      <c r="S1" s="20"/>
      <c r="T1" s="19" t="s">
        <v>73</v>
      </c>
      <c r="U1" s="20"/>
      <c r="V1" s="20"/>
      <c r="W1" s="20"/>
      <c r="X1" s="20"/>
      <c r="Y1" s="20"/>
      <c r="Z1" s="20"/>
    </row>
    <row r="2">
      <c r="A2" s="23" t="str">
        <f t="array" ref="A2:B112">SORT(UNIQUE(Offers!E2:F1000))</f>
        <v> Bassh Clothing</v>
      </c>
      <c r="B2" s="24">
        <v>3.0</v>
      </c>
      <c r="C2" s="20"/>
      <c r="D2" s="20"/>
      <c r="E2" s="23" t="str">
        <f>IFERROR(__xludf.DUMMYFUNCTION("IFERROR(FILTER(A2:A1000,B2:B1000&gt;=10), """")"),"Caterpillar")</f>
        <v>Caterpillar</v>
      </c>
      <c r="F2" s="23" t="str">
        <f t="array" ref="F2:F11">UNIQUE(E2:E1000)</f>
        <v>Caterpillar</v>
      </c>
      <c r="G2" s="20"/>
      <c r="H2" s="23" t="str">
        <f>IFERROR(__xludf.DUMMYFUNCTION("IFERROR(FILTER(A2:A1000,B2:B1000&gt;=7, B2:B1000&lt;10), """")"),"Affordmed")</f>
        <v>Affordmed</v>
      </c>
      <c r="I2" s="23" t="str">
        <f t="array" ref="I2:I11">UNIQUE(H2:H1000)</f>
        <v>Affordmed</v>
      </c>
      <c r="J2" s="20"/>
      <c r="K2" s="23" t="str">
        <f>IFERROR(__xludf.DUMMYFUNCTION("IFERROR(FILTER(A2:A1000,B2:B1000&gt;=6, B2:B1000&lt;7), """")"),"Codemagen")</f>
        <v>Codemagen</v>
      </c>
      <c r="L2" s="23" t="str">
        <f t="array" ref="L2:L10">UNIQUE(K2:K1000)</f>
        <v>Codemagen</v>
      </c>
      <c r="M2" s="20"/>
      <c r="N2" s="23" t="str">
        <f>IFERROR(__xludf.DUMMYFUNCTION("IFERROR(FILTER(A2:A1000,B2:B1000&gt;=5, B2:B1000&lt;6), """")"),"Aerele Technologies")</f>
        <v>Aerele Technologies</v>
      </c>
      <c r="O2" s="23" t="str">
        <f t="array" ref="O2:O13">UNIQUE(N2:N1000)</f>
        <v>Aerele Technologies</v>
      </c>
      <c r="P2" s="20"/>
      <c r="Q2" s="23" t="str">
        <f>IFERROR(__xludf.DUMMYFUNCTION("IFERROR(FILTER(A2:A1000,B2:B1000&gt;=4, B2:B1000&lt;5), """")"),"Bi3 Technologies ")</f>
        <v>Bi3 Technologies </v>
      </c>
      <c r="R2" s="23" t="str">
        <f t="array" ref="R2:R23">UNIQUE(Q2:Q1000)</f>
        <v>Bi3 Technologies </v>
      </c>
      <c r="S2" s="20"/>
      <c r="T2" s="23" t="str">
        <f>IFERROR(__xludf.DUMMYFUNCTION("IFERROR(FILTER(A2:A1000,B2:B1000&gt;=3, B2:B1000&lt;4), """")")," Bassh Clothing")</f>
        <v> Bassh Clothing</v>
      </c>
      <c r="U2" s="23" t="str">
        <f t="array" ref="U2:U51">UNIQUE(T2:T1000)</f>
        <v> Bassh Clothing</v>
      </c>
      <c r="V2" s="20"/>
      <c r="W2" s="20"/>
      <c r="X2" s="20"/>
      <c r="Y2" s="20"/>
      <c r="Z2" s="20"/>
    </row>
    <row r="3">
      <c r="A3" s="27" t="s">
        <v>88</v>
      </c>
      <c r="B3" s="27">
        <v>3.0</v>
      </c>
      <c r="E3" s="27" t="str">
        <f>IFERROR(__xludf.DUMMYFUNCTION("""COMPUTED_VALUE"""),"EXL Service")</f>
        <v>EXL Service</v>
      </c>
      <c r="F3" s="27" t="s">
        <v>90</v>
      </c>
      <c r="H3" s="27" t="str">
        <f>IFERROR(__xludf.DUMMYFUNCTION("""COMPUTED_VALUE"""),"GoML")</f>
        <v>GoML</v>
      </c>
      <c r="I3" s="27" t="s">
        <v>91</v>
      </c>
      <c r="K3" s="27" t="str">
        <f>IFERROR(__xludf.DUMMYFUNCTION("""COMPUTED_VALUE"""),"EXL Service")</f>
        <v>EXL Service</v>
      </c>
      <c r="L3" s="27" t="s">
        <v>90</v>
      </c>
      <c r="N3" s="27" t="str">
        <f>IFERROR(__xludf.DUMMYFUNCTION("""COMPUTED_VALUE"""),"Bi3 Technologies ")</f>
        <v>Bi3 Technologies </v>
      </c>
      <c r="O3" s="27" t="s">
        <v>92</v>
      </c>
      <c r="Q3" s="27" t="str">
        <f>IFERROR(__xludf.DUMMYFUNCTION("""COMPUTED_VALUE"""),"Cartrabbit")</f>
        <v>Cartrabbit</v>
      </c>
      <c r="R3" s="27" t="s">
        <v>94</v>
      </c>
      <c r="T3" s="27" t="str">
        <f>IFERROR(__xludf.DUMMYFUNCTION("""COMPUTED_VALUE"""),"Advanced Clothing Concepts")</f>
        <v>Advanced Clothing Concepts</v>
      </c>
      <c r="U3" s="27" t="s">
        <v>88</v>
      </c>
    </row>
    <row r="4">
      <c r="A4" s="27" t="s">
        <v>95</v>
      </c>
      <c r="B4" s="27">
        <v>5.0</v>
      </c>
      <c r="E4" s="27" t="str">
        <f>IFERROR(__xludf.DUMMYFUNCTION("""COMPUTED_VALUE"""),"Integra Connect")</f>
        <v>Integra Connect</v>
      </c>
      <c r="F4" s="27" t="s">
        <v>96</v>
      </c>
      <c r="H4" s="27" t="str">
        <f>IFERROR(__xludf.DUMMYFUNCTION("""COMPUTED_VALUE"""),"Multicoreware")</f>
        <v>Multicoreware</v>
      </c>
      <c r="I4" s="27" t="s">
        <v>97</v>
      </c>
      <c r="K4" s="27" t="str">
        <f>IFERROR(__xludf.DUMMYFUNCTION("""COMPUTED_VALUE"""),"Glowlogics")</f>
        <v>Glowlogics</v>
      </c>
      <c r="L4" s="27" t="s">
        <v>98</v>
      </c>
      <c r="N4" s="27" t="str">
        <f>IFERROR(__xludf.DUMMYFUNCTION("""COMPUTED_VALUE"""),"Bootlabs")</f>
        <v>Bootlabs</v>
      </c>
      <c r="O4" s="27" t="s">
        <v>100</v>
      </c>
      <c r="Q4" s="27" t="str">
        <f>IFERROR(__xludf.DUMMYFUNCTION("""COMPUTED_VALUE"""),"Cloudvice")</f>
        <v>Cloudvice</v>
      </c>
      <c r="R4" s="27" t="s">
        <v>101</v>
      </c>
      <c r="T4" s="27" t="str">
        <f>IFERROR(__xludf.DUMMYFUNCTION("""COMPUTED_VALUE"""),"Ahill Apparels")</f>
        <v>Ahill Apparels</v>
      </c>
      <c r="U4" s="27" t="s">
        <v>102</v>
      </c>
    </row>
    <row r="5">
      <c r="A5" s="27" t="s">
        <v>103</v>
      </c>
      <c r="B5" s="27">
        <v>7.0</v>
      </c>
      <c r="E5" s="27" t="str">
        <f>IFERROR(__xludf.DUMMYFUNCTION("""COMPUTED_VALUE"""),"JUSPAY")</f>
        <v>JUSPAY</v>
      </c>
      <c r="F5" s="27" t="s">
        <v>104</v>
      </c>
      <c r="H5" s="27" t="str">
        <f>IFERROR(__xludf.DUMMYFUNCTION("""COMPUTED_VALUE"""),"Reliance")</f>
        <v>Reliance</v>
      </c>
      <c r="I5" s="27" t="s">
        <v>105</v>
      </c>
      <c r="K5" s="27" t="str">
        <f>IFERROR(__xludf.DUMMYFUNCTION("""COMPUTED_VALUE"""),"IDP Education")</f>
        <v>IDP Education</v>
      </c>
      <c r="L5" s="27" t="s">
        <v>106</v>
      </c>
      <c r="N5" s="28" t="str">
        <f>IFERROR(__xludf.DUMMYFUNCTION("""COMPUTED_VALUE"""),"Conversight.Ai")</f>
        <v>Conversight.Ai</v>
      </c>
      <c r="O5" s="28" t="s">
        <v>58</v>
      </c>
      <c r="Q5" s="27" t="str">
        <f>IFERROR(__xludf.DUMMYFUNCTION("""COMPUTED_VALUE"""),"Cognizant")</f>
        <v>Cognizant</v>
      </c>
      <c r="R5" s="27" t="s">
        <v>108</v>
      </c>
      <c r="T5" s="27" t="str">
        <f>IFERROR(__xludf.DUMMYFUNCTION("""COMPUTED_VALUE"""),"Aizentify")</f>
        <v>Aizentify</v>
      </c>
      <c r="U5" s="27" t="s">
        <v>109</v>
      </c>
    </row>
    <row r="6">
      <c r="A6" s="27" t="s">
        <v>102</v>
      </c>
      <c r="B6" s="27">
        <v>3.0</v>
      </c>
      <c r="E6" s="27" t="str">
        <f>IFERROR(__xludf.DUMMYFUNCTION("""COMPUTED_VALUE"""),"JUSPAY")</f>
        <v>JUSPAY</v>
      </c>
      <c r="F6" s="27" t="s">
        <v>97</v>
      </c>
      <c r="H6" s="27" t="str">
        <f>IFERROR(__xludf.DUMMYFUNCTION("""COMPUTED_VALUE"""),"Rocket India (Mr. Cooper)")</f>
        <v>Rocket India (Mr. Cooper)</v>
      </c>
      <c r="I6" s="27" t="s">
        <v>111</v>
      </c>
      <c r="K6" s="27" t="str">
        <f>IFERROR(__xludf.DUMMYFUNCTION("""COMPUTED_VALUE"""),"Infineon Technologies")</f>
        <v>Infineon Technologies</v>
      </c>
      <c r="L6" s="27" t="s">
        <v>113</v>
      </c>
      <c r="N6" s="27" t="str">
        <f>IFERROR(__xludf.DUMMYFUNCTION("""COMPUTED_VALUE"""),"EQREV")</f>
        <v>EQREV</v>
      </c>
      <c r="O6" s="27" t="s">
        <v>114</v>
      </c>
      <c r="Q6" s="27" t="str">
        <f>IFERROR(__xludf.DUMMYFUNCTION("""COMPUTED_VALUE"""),"Excelacom Technologies")</f>
        <v>Excelacom Technologies</v>
      </c>
      <c r="R6" s="27" t="s">
        <v>115</v>
      </c>
      <c r="T6" s="27" t="str">
        <f>IFERROR(__xludf.DUMMYFUNCTION("""COMPUTED_VALUE"""),"Aspire Biozymes")</f>
        <v>Aspire Biozymes</v>
      </c>
      <c r="U6" s="27" t="s">
        <v>116</v>
      </c>
    </row>
    <row r="7">
      <c r="A7" s="27" t="s">
        <v>109</v>
      </c>
      <c r="B7" s="27">
        <v>3.6</v>
      </c>
      <c r="E7" s="27" t="str">
        <f>IFERROR(__xludf.DUMMYFUNCTION("""COMPUTED_VALUE"""),"Multicoreware")</f>
        <v>Multicoreware</v>
      </c>
      <c r="F7" s="27" t="s">
        <v>117</v>
      </c>
      <c r="H7" s="27" t="str">
        <f>IFERROR(__xludf.DUMMYFUNCTION("""COMPUTED_VALUE"""),"Survey Sparrow")</f>
        <v>Survey Sparrow</v>
      </c>
      <c r="I7" s="27" t="s">
        <v>118</v>
      </c>
      <c r="K7" s="27" t="str">
        <f>IFERROR(__xludf.DUMMYFUNCTION("""COMPUTED_VALUE"""),"Tessolve")</f>
        <v>Tessolve</v>
      </c>
      <c r="L7" s="27" t="s">
        <v>119</v>
      </c>
      <c r="N7" s="27" t="str">
        <f>IFERROR(__xludf.DUMMYFUNCTION("""COMPUTED_VALUE"""),"Mistral Solutions")</f>
        <v>Mistral Solutions</v>
      </c>
      <c r="O7" s="27" t="s">
        <v>121</v>
      </c>
      <c r="Q7" s="27" t="str">
        <f>IFERROR(__xludf.DUMMYFUNCTION("""COMPUTED_VALUE"""),"Forvia Hella")</f>
        <v>Forvia Hella</v>
      </c>
      <c r="R7" s="27" t="s">
        <v>122</v>
      </c>
      <c r="T7" s="27" t="str">
        <f>IFERROR(__xludf.DUMMYFUNCTION("""COMPUTED_VALUE"""),"Bannari Amman Public School")</f>
        <v>Bannari Amman Public School</v>
      </c>
      <c r="U7" s="27" t="s">
        <v>123</v>
      </c>
    </row>
    <row r="8">
      <c r="A8" s="27" t="s">
        <v>116</v>
      </c>
      <c r="B8" s="27">
        <v>3.0</v>
      </c>
      <c r="E8" s="27" t="str">
        <f>IFERROR(__xludf.DUMMYFUNCTION("""COMPUTED_VALUE"""),"NETGEAR")</f>
        <v>NETGEAR</v>
      </c>
      <c r="F8" s="27" t="s">
        <v>124</v>
      </c>
      <c r="H8" s="27" t="str">
        <f>IFERROR(__xludf.DUMMYFUNCTION("""COMPUTED_VALUE"""),"TCS")</f>
        <v>TCS</v>
      </c>
      <c r="I8" s="27" t="s">
        <v>125</v>
      </c>
      <c r="K8" s="27" t="str">
        <f>IFERROR(__xludf.DUMMYFUNCTION("""COMPUTED_VALUE"""),"The Alter Office")</f>
        <v>The Alter Office</v>
      </c>
      <c r="L8" s="27" t="s">
        <v>126</v>
      </c>
      <c r="N8" s="27" t="str">
        <f>IFERROR(__xludf.DUMMYFUNCTION("""COMPUTED_VALUE"""),"Orangewood ")</f>
        <v>Orangewood </v>
      </c>
      <c r="O8" s="27" t="s">
        <v>128</v>
      </c>
      <c r="Q8" s="27" t="str">
        <f>IFERROR(__xludf.DUMMYFUNCTION("""COMPUTED_VALUE"""),"HCL")</f>
        <v>HCL</v>
      </c>
      <c r="R8" s="27" t="s">
        <v>129</v>
      </c>
      <c r="T8" s="27" t="str">
        <f>IFERROR(__xludf.DUMMYFUNCTION("""COMPUTED_VALUE"""),"BPL Medical Technologies")</f>
        <v>BPL Medical Technologies</v>
      </c>
      <c r="U8" s="27" t="s">
        <v>130</v>
      </c>
    </row>
    <row r="9">
      <c r="A9" s="27" t="s">
        <v>123</v>
      </c>
      <c r="B9" s="27">
        <v>3.0</v>
      </c>
      <c r="E9" s="27" t="str">
        <f>IFERROR(__xludf.DUMMYFUNCTION("""COMPUTED_VALUE"""),"PayPal")</f>
        <v>PayPal</v>
      </c>
      <c r="F9" s="27" t="s">
        <v>131</v>
      </c>
      <c r="H9" s="27" t="str">
        <f>IFERROR(__xludf.DUMMYFUNCTION("""COMPUTED_VALUE"""),"TCS")</f>
        <v>TCS</v>
      </c>
      <c r="I9" s="27" t="s">
        <v>133</v>
      </c>
      <c r="K9" s="27" t="str">
        <f>IFERROR(__xludf.DUMMYFUNCTION("""COMPUTED_VALUE"""),"Zohocorp")</f>
        <v>Zohocorp</v>
      </c>
      <c r="L9" s="27" t="s">
        <v>135</v>
      </c>
      <c r="N9" s="27" t="str">
        <f>IFERROR(__xludf.DUMMYFUNCTION("""COMPUTED_VALUE"""),"Shakra Innovations")</f>
        <v>Shakra Innovations</v>
      </c>
      <c r="O9" s="27" t="s">
        <v>137</v>
      </c>
      <c r="Q9" s="27" t="str">
        <f>IFERROR(__xludf.DUMMYFUNCTION("""COMPUTED_VALUE"""),"Hexaware")</f>
        <v>Hexaware</v>
      </c>
      <c r="R9" s="27" t="s">
        <v>139</v>
      </c>
      <c r="T9" s="27" t="str">
        <f>IFERROR(__xludf.DUMMYFUNCTION("""COMPUTED_VALUE"""),"Confluence Valley Flavors")</f>
        <v>Confluence Valley Flavors</v>
      </c>
      <c r="U9" s="27" t="s">
        <v>140</v>
      </c>
    </row>
    <row r="10">
      <c r="A10" s="27" t="s">
        <v>92</v>
      </c>
      <c r="B10" s="27">
        <v>4.5</v>
      </c>
      <c r="E10" s="27" t="str">
        <f>IFERROR(__xludf.DUMMYFUNCTION("""COMPUTED_VALUE"""),"Presidio")</f>
        <v>Presidio</v>
      </c>
      <c r="F10" s="27" t="s">
        <v>132</v>
      </c>
      <c r="H10" s="27" t="str">
        <f>IFERROR(__xludf.DUMMYFUNCTION("""COMPUTED_VALUE"""),"VISTEON")</f>
        <v>VISTEON</v>
      </c>
      <c r="I10" s="27" t="s">
        <v>135</v>
      </c>
      <c r="L10" s="27"/>
      <c r="N10" s="27" t="str">
        <f>IFERROR(__xludf.DUMMYFUNCTION("""COMPUTED_VALUE"""),"TAEGUTEC")</f>
        <v>TAEGUTEC</v>
      </c>
      <c r="O10" s="27" t="s">
        <v>142</v>
      </c>
      <c r="Q10" s="27" t="str">
        <f>IFERROR(__xludf.DUMMYFUNCTION("""COMPUTED_VALUE"""),"Killis Bird")</f>
        <v>Killis Bird</v>
      </c>
      <c r="R10" s="27" t="s">
        <v>143</v>
      </c>
      <c r="T10" s="27" t="str">
        <f>IFERROR(__xludf.DUMMYFUNCTION("""COMPUTED_VALUE"""),"Cotton Blossom")</f>
        <v>Cotton Blossom</v>
      </c>
      <c r="U10" s="27" t="s">
        <v>144</v>
      </c>
    </row>
    <row r="11">
      <c r="A11" s="27" t="s">
        <v>92</v>
      </c>
      <c r="B11" s="27">
        <v>5.0</v>
      </c>
      <c r="E11" s="27" t="str">
        <f>IFERROR(__xludf.DUMMYFUNCTION("""COMPUTED_VALUE"""),"Soliton")</f>
        <v>Soliton</v>
      </c>
      <c r="F11" s="27"/>
      <c r="H11" s="27" t="str">
        <f>IFERROR(__xludf.DUMMYFUNCTION("""COMPUTED_VALUE"""),"Zohocorp")</f>
        <v>Zohocorp</v>
      </c>
      <c r="I11" s="27"/>
      <c r="N11" s="27" t="str">
        <f>IFERROR(__xludf.DUMMYFUNCTION("""COMPUTED_VALUE"""),"Workhall")</f>
        <v>Workhall</v>
      </c>
      <c r="O11" s="27" t="s">
        <v>145</v>
      </c>
      <c r="Q11" s="27" t="str">
        <f>IFERROR(__xludf.DUMMYFUNCTION("""COMPUTED_VALUE"""),"Lakshmi Machine Works")</f>
        <v>Lakshmi Machine Works</v>
      </c>
      <c r="R11" s="27" t="s">
        <v>146</v>
      </c>
      <c r="T11" s="27" t="str">
        <f>IFERROR(__xludf.DUMMYFUNCTION("""COMPUTED_VALUE"""),"Dataplatr")</f>
        <v>Dataplatr</v>
      </c>
      <c r="U11" s="27" t="s">
        <v>147</v>
      </c>
    </row>
    <row r="12">
      <c r="A12" s="27" t="s">
        <v>100</v>
      </c>
      <c r="B12" s="27">
        <v>5.0</v>
      </c>
      <c r="N12" s="27" t="str">
        <f>IFERROR(__xludf.DUMMYFUNCTION("""COMPUTED_VALUE"""),"ZeAI Soft")</f>
        <v>ZeAI Soft</v>
      </c>
      <c r="O12" s="27" t="s">
        <v>148</v>
      </c>
      <c r="Q12" s="27" t="str">
        <f>IFERROR(__xludf.DUMMYFUNCTION("""COMPUTED_VALUE"""),"Leaf Corporation")</f>
        <v>Leaf Corporation</v>
      </c>
      <c r="R12" s="27" t="s">
        <v>149</v>
      </c>
      <c r="T12" s="27" t="str">
        <f>IFERROR(__xludf.DUMMYFUNCTION("""COMPUTED_VALUE"""),"EnSmart Controls")</f>
        <v>EnSmart Controls</v>
      </c>
      <c r="U12" s="27" t="s">
        <v>150</v>
      </c>
    </row>
    <row r="13">
      <c r="A13" s="27" t="s">
        <v>130</v>
      </c>
      <c r="B13" s="27">
        <v>3.0</v>
      </c>
      <c r="O13" s="27"/>
      <c r="Q13" s="27" t="str">
        <f>IFERROR(__xludf.DUMMYFUNCTION("""COMPUTED_VALUE"""),"Lucid Imaging")</f>
        <v>Lucid Imaging</v>
      </c>
      <c r="R13" s="27" t="s">
        <v>151</v>
      </c>
      <c r="T13" s="27" t="str">
        <f>IFERROR(__xludf.DUMMYFUNCTION("""COMPUTED_VALUE"""),"Foresight Software Solutions")</f>
        <v>Foresight Software Solutions</v>
      </c>
      <c r="U13" s="27" t="s">
        <v>152</v>
      </c>
    </row>
    <row r="14">
      <c r="A14" s="27" t="s">
        <v>94</v>
      </c>
      <c r="B14" s="27">
        <v>4.0</v>
      </c>
      <c r="Q14" s="27" t="str">
        <f>IFERROR(__xludf.DUMMYFUNCTION("""COMPUTED_VALUE"""),"Lucid Imaging")</f>
        <v>Lucid Imaging</v>
      </c>
      <c r="R14" s="27" t="s">
        <v>153</v>
      </c>
      <c r="T14" s="27" t="str">
        <f>IFERROR(__xludf.DUMMYFUNCTION("""COMPUTED_VALUE"""),"GAC Logistics ")</f>
        <v>GAC Logistics </v>
      </c>
      <c r="U14" s="27" t="s">
        <v>154</v>
      </c>
    </row>
    <row r="15">
      <c r="A15" s="27" t="s">
        <v>155</v>
      </c>
      <c r="B15" s="27">
        <v>14.6</v>
      </c>
      <c r="Q15" s="27" t="str">
        <f>IFERROR(__xludf.DUMMYFUNCTION("""COMPUTED_VALUE"""),"MGM-Varvel Power Transmission ")</f>
        <v>MGM-Varvel Power Transmission </v>
      </c>
      <c r="R15" s="27" t="s">
        <v>156</v>
      </c>
      <c r="T15" s="27" t="str">
        <f>IFERROR(__xludf.DUMMYFUNCTION("""COMPUTED_VALUE"""),"Gighz")</f>
        <v>Gighz</v>
      </c>
      <c r="U15" s="27" t="s">
        <v>157</v>
      </c>
    </row>
    <row r="16">
      <c r="A16" s="27" t="s">
        <v>101</v>
      </c>
      <c r="B16" s="27">
        <v>4.0</v>
      </c>
      <c r="Q16" s="27" t="str">
        <f>IFERROR(__xludf.DUMMYFUNCTION("""COMPUTED_VALUE"""),"Motherson")</f>
        <v>Motherson</v>
      </c>
      <c r="R16" s="27" t="s">
        <v>158</v>
      </c>
      <c r="T16" s="27" t="str">
        <f>IFERROR(__xludf.DUMMYFUNCTION("""COMPUTED_VALUE"""),"Grid Sync")</f>
        <v>Grid Sync</v>
      </c>
      <c r="U16" s="27" t="s">
        <v>159</v>
      </c>
    </row>
    <row r="17">
      <c r="A17" s="27" t="s">
        <v>160</v>
      </c>
      <c r="B17" s="27">
        <v>6.0</v>
      </c>
      <c r="Q17" s="27" t="str">
        <f>IFERROR(__xludf.DUMMYFUNCTION("""COMPUTED_VALUE"""),"Rajsriya Automotive")</f>
        <v>Rajsriya Automotive</v>
      </c>
      <c r="R17" s="27" t="s">
        <v>161</v>
      </c>
      <c r="T17" s="27" t="str">
        <f>IFERROR(__xludf.DUMMYFUNCTION("""COMPUTED_VALUE"""),"Harita Techserv")</f>
        <v>Harita Techserv</v>
      </c>
      <c r="U17" s="27" t="s">
        <v>162</v>
      </c>
    </row>
    <row r="18">
      <c r="A18" s="27" t="s">
        <v>108</v>
      </c>
      <c r="B18" s="27">
        <v>4.0</v>
      </c>
      <c r="Q18" s="27" t="str">
        <f>IFERROR(__xludf.DUMMYFUNCTION("""COMPUTED_VALUE"""),"RapidData Technologies")</f>
        <v>RapidData Technologies</v>
      </c>
      <c r="R18" s="27" t="s">
        <v>163</v>
      </c>
      <c r="T18" s="27" t="str">
        <f>IFERROR(__xludf.DUMMYFUNCTION("""COMPUTED_VALUE"""),"HomeLines Textiles")</f>
        <v>HomeLines Textiles</v>
      </c>
      <c r="U18" s="27" t="s">
        <v>164</v>
      </c>
    </row>
    <row r="19">
      <c r="A19" s="27" t="s">
        <v>140</v>
      </c>
      <c r="B19" s="27">
        <v>3.0</v>
      </c>
      <c r="Q19" s="27" t="str">
        <f>IFERROR(__xludf.DUMMYFUNCTION("""COMPUTED_VALUE"""),"SWELECT")</f>
        <v>SWELECT</v>
      </c>
      <c r="R19" s="27" t="s">
        <v>165</v>
      </c>
      <c r="T19" s="27" t="str">
        <f>IFERROR(__xludf.DUMMYFUNCTION("""COMPUTED_VALUE"""),"Jayanti Herbs &amp; Spice")</f>
        <v>Jayanti Herbs &amp; Spice</v>
      </c>
      <c r="U19" s="27" t="s">
        <v>166</v>
      </c>
    </row>
    <row r="20">
      <c r="A20" s="28" t="s">
        <v>58</v>
      </c>
      <c r="B20" s="27">
        <v>5.0</v>
      </c>
      <c r="Q20" s="27" t="str">
        <f>IFERROR(__xludf.DUMMYFUNCTION("""COMPUTED_VALUE"""),"Tridots")</f>
        <v>Tridots</v>
      </c>
      <c r="R20" s="27" t="s">
        <v>167</v>
      </c>
      <c r="T20" s="27" t="str">
        <f>IFERROR(__xludf.DUMMYFUNCTION("""COMPUTED_VALUE"""),"JAYEM Automotives")</f>
        <v>JAYEM Automotives</v>
      </c>
      <c r="U20" s="27" t="s">
        <v>168</v>
      </c>
    </row>
    <row r="21">
      <c r="A21" s="27" t="s">
        <v>144</v>
      </c>
      <c r="B21" s="27">
        <v>3.0</v>
      </c>
      <c r="Q21" s="27" t="str">
        <f>IFERROR(__xludf.DUMMYFUNCTION("""COMPUTED_VALUE"""),"Tringapps")</f>
        <v>Tringapps</v>
      </c>
      <c r="R21" s="27" t="s">
        <v>169</v>
      </c>
      <c r="T21" s="27" t="str">
        <f>IFERROR(__xludf.DUMMYFUNCTION("""COMPUTED_VALUE"""),"Kovai Maruthi Papers &amp; Boards")</f>
        <v>Kovai Maruthi Papers &amp; Boards</v>
      </c>
      <c r="U21" s="27" t="s">
        <v>170</v>
      </c>
    </row>
    <row r="22">
      <c r="A22" s="27" t="s">
        <v>147</v>
      </c>
      <c r="B22" s="27">
        <v>3.6</v>
      </c>
      <c r="Q22" s="27" t="str">
        <f>IFERROR(__xludf.DUMMYFUNCTION("""COMPUTED_VALUE"""),"VST TILLERS TRACTORS")</f>
        <v>VST TILLERS TRACTORS</v>
      </c>
      <c r="R22" s="27" t="s">
        <v>135</v>
      </c>
      <c r="T22" s="27" t="str">
        <f>IFERROR(__xludf.DUMMYFUNCTION("""COMPUTED_VALUE"""),"L.G. Balakrishnan &amp; Bros Ltd.")</f>
        <v>L.G. Balakrishnan &amp; Bros Ltd.</v>
      </c>
      <c r="U22" s="27" t="s">
        <v>171</v>
      </c>
    </row>
    <row r="23">
      <c r="A23" s="27" t="s">
        <v>150</v>
      </c>
      <c r="B23" s="27">
        <v>3.5</v>
      </c>
      <c r="Q23" s="27" t="str">
        <f>IFERROR(__xludf.DUMMYFUNCTION("""COMPUTED_VALUE"""),"Zohocorp")</f>
        <v>Zohocorp</v>
      </c>
      <c r="R23" s="27"/>
      <c r="T23" s="27" t="str">
        <f>IFERROR(__xludf.DUMMYFUNCTION("""COMPUTED_VALUE"""),"Lucid Imaging")</f>
        <v>Lucid Imaging</v>
      </c>
      <c r="U23" s="27" t="s">
        <v>151</v>
      </c>
    </row>
    <row r="24">
      <c r="A24" s="27" t="s">
        <v>114</v>
      </c>
      <c r="B24" s="27">
        <v>5.0</v>
      </c>
      <c r="T24" s="27" t="str">
        <f>IFERROR(__xludf.DUMMYFUNCTION("""COMPUTED_VALUE"""),"Mayflower Enterprises")</f>
        <v>Mayflower Enterprises</v>
      </c>
      <c r="U24" s="27" t="s">
        <v>176</v>
      </c>
    </row>
    <row r="25">
      <c r="A25" s="27" t="s">
        <v>115</v>
      </c>
      <c r="B25" s="27">
        <v>4.0</v>
      </c>
      <c r="T25" s="27" t="str">
        <f>IFERROR(__xludf.DUMMYFUNCTION("""COMPUTED_VALUE"""),"Mechatronics Control and Equipments")</f>
        <v>Mechatronics Control and Equipments</v>
      </c>
      <c r="U25" s="27" t="s">
        <v>177</v>
      </c>
    </row>
    <row r="26">
      <c r="A26" s="27" t="s">
        <v>90</v>
      </c>
      <c r="B26" s="27">
        <v>6.5</v>
      </c>
      <c r="T26" s="27" t="str">
        <f>IFERROR(__xludf.DUMMYFUNCTION("""COMPUTED_VALUE"""),"Mobitech")</f>
        <v>Mobitech</v>
      </c>
      <c r="U26" s="27" t="s">
        <v>179</v>
      </c>
    </row>
    <row r="27">
      <c r="A27" s="27" t="s">
        <v>90</v>
      </c>
      <c r="B27" s="27">
        <v>10.0</v>
      </c>
      <c r="T27" s="27" t="str">
        <f>IFERROR(__xludf.DUMMYFUNCTION("""COMPUTED_VALUE"""),"Motherson")</f>
        <v>Motherson</v>
      </c>
      <c r="U27" s="27" t="s">
        <v>156</v>
      </c>
    </row>
    <row r="28">
      <c r="A28" s="27" t="s">
        <v>152</v>
      </c>
      <c r="B28" s="27">
        <v>3.0</v>
      </c>
      <c r="T28" s="27" t="str">
        <f>IFERROR(__xludf.DUMMYFUNCTION("""COMPUTED_VALUE"""),"ORCHID Pharma")</f>
        <v>ORCHID Pharma</v>
      </c>
      <c r="U28" s="27" t="s">
        <v>180</v>
      </c>
    </row>
    <row r="29">
      <c r="A29" s="27" t="s">
        <v>122</v>
      </c>
      <c r="B29" s="27">
        <v>4.0</v>
      </c>
      <c r="T29" s="27" t="str">
        <f>IFERROR(__xludf.DUMMYFUNCTION("""COMPUTED_VALUE"""),"Pharmag instruments")</f>
        <v>Pharmag instruments</v>
      </c>
      <c r="U29" s="27" t="s">
        <v>181</v>
      </c>
    </row>
    <row r="30">
      <c r="A30" s="27" t="s">
        <v>154</v>
      </c>
      <c r="B30" s="27">
        <v>3.6</v>
      </c>
      <c r="T30" s="27" t="str">
        <f>IFERROR(__xludf.DUMMYFUNCTION("""COMPUTED_VALUE"""),"RK Ecran")</f>
        <v>RK Ecran</v>
      </c>
      <c r="U30" s="27" t="s">
        <v>182</v>
      </c>
    </row>
    <row r="31">
      <c r="A31" s="27" t="s">
        <v>157</v>
      </c>
      <c r="B31" s="27">
        <v>3.5</v>
      </c>
      <c r="T31" s="27" t="str">
        <f>IFERROR(__xludf.DUMMYFUNCTION("""COMPUTED_VALUE"""),"Robonetics Automation Solutions")</f>
        <v>Robonetics Automation Solutions</v>
      </c>
      <c r="U31" s="27" t="s">
        <v>183</v>
      </c>
    </row>
    <row r="32">
      <c r="A32" s="27" t="s">
        <v>98</v>
      </c>
      <c r="B32" s="27">
        <v>6.2</v>
      </c>
      <c r="T32" s="27" t="str">
        <f>IFERROR(__xludf.DUMMYFUNCTION("""COMPUTED_VALUE"""),"Royal Automation")</f>
        <v>Royal Automation</v>
      </c>
      <c r="U32" s="27" t="s">
        <v>184</v>
      </c>
    </row>
    <row r="33">
      <c r="A33" s="27" t="s">
        <v>91</v>
      </c>
      <c r="B33" s="27">
        <v>7.0</v>
      </c>
      <c r="T33" s="27" t="str">
        <f>IFERROR(__xludf.DUMMYFUNCTION("""COMPUTED_VALUE"""),"RSJ Inspection")</f>
        <v>RSJ Inspection</v>
      </c>
      <c r="U33" s="27" t="s">
        <v>186</v>
      </c>
    </row>
    <row r="34">
      <c r="A34" s="27" t="s">
        <v>159</v>
      </c>
      <c r="B34" s="27">
        <v>3.0</v>
      </c>
      <c r="T34" s="27" t="str">
        <f>IFERROR(__xludf.DUMMYFUNCTION("""COMPUTED_VALUE"""),"S.R.K. Garments")</f>
        <v>S.R.K. Garments</v>
      </c>
      <c r="U34" s="27" t="s">
        <v>187</v>
      </c>
    </row>
    <row r="35">
      <c r="A35" s="27" t="s">
        <v>162</v>
      </c>
      <c r="B35" s="27">
        <v>3.0</v>
      </c>
      <c r="T35" s="27" t="str">
        <f>IFERROR(__xludf.DUMMYFUNCTION("""COMPUTED_VALUE"""),"Sapphire IMS ")</f>
        <v>Sapphire IMS </v>
      </c>
      <c r="U35" s="27" t="s">
        <v>188</v>
      </c>
    </row>
    <row r="36">
      <c r="A36" s="27" t="s">
        <v>129</v>
      </c>
      <c r="B36" s="27">
        <v>4.5</v>
      </c>
      <c r="T36" s="27" t="str">
        <f>IFERROR(__xludf.DUMMYFUNCTION("""COMPUTED_VALUE"""),"Schaeffler India")</f>
        <v>Schaeffler India</v>
      </c>
      <c r="U36" s="27" t="s">
        <v>189</v>
      </c>
    </row>
    <row r="37">
      <c r="A37" s="27" t="s">
        <v>139</v>
      </c>
      <c r="B37" s="27">
        <v>4.0</v>
      </c>
      <c r="T37" s="27" t="str">
        <f>IFERROR(__xludf.DUMMYFUNCTION("""COMPUTED_VALUE"""),"Schnell Energy Equipments")</f>
        <v>Schnell Energy Equipments</v>
      </c>
      <c r="U37" s="27" t="s">
        <v>190</v>
      </c>
    </row>
    <row r="38">
      <c r="A38" s="27" t="s">
        <v>164</v>
      </c>
      <c r="B38" s="27">
        <v>3.0</v>
      </c>
      <c r="T38" s="27" t="str">
        <f>IFERROR(__xludf.DUMMYFUNCTION("""COMPUTED_VALUE"""),"Shanthi Gears")</f>
        <v>Shanthi Gears</v>
      </c>
      <c r="U38" s="27" t="s">
        <v>191</v>
      </c>
    </row>
    <row r="39">
      <c r="A39" s="27" t="s">
        <v>106</v>
      </c>
      <c r="B39" s="27">
        <v>6.0</v>
      </c>
      <c r="T39" s="27" t="str">
        <f>IFERROR(__xludf.DUMMYFUNCTION("""COMPUTED_VALUE"""),"Slicktronix Medisens")</f>
        <v>Slicktronix Medisens</v>
      </c>
      <c r="U39" s="27" t="s">
        <v>192</v>
      </c>
    </row>
    <row r="40">
      <c r="A40" s="27" t="s">
        <v>113</v>
      </c>
      <c r="B40" s="27">
        <v>6.0</v>
      </c>
      <c r="T40" s="27" t="str">
        <f>IFERROR(__xludf.DUMMYFUNCTION("""COMPUTED_VALUE"""),"Sublime Structures")</f>
        <v>Sublime Structures</v>
      </c>
      <c r="U40" s="27" t="s">
        <v>194</v>
      </c>
    </row>
    <row r="41">
      <c r="A41" s="27" t="s">
        <v>96</v>
      </c>
      <c r="B41" s="27">
        <v>10.0</v>
      </c>
      <c r="T41" s="27" t="str">
        <f>IFERROR(__xludf.DUMMYFUNCTION("""COMPUTED_VALUE"""),"Surinova")</f>
        <v>Surinova</v>
      </c>
      <c r="U41" s="27" t="s">
        <v>195</v>
      </c>
    </row>
    <row r="42">
      <c r="A42" s="27" t="s">
        <v>166</v>
      </c>
      <c r="B42" s="27">
        <v>3.0</v>
      </c>
      <c r="T42" s="27" t="str">
        <f>IFERROR(__xludf.DUMMYFUNCTION("""COMPUTED_VALUE"""),"Tata Elxsi")</f>
        <v>Tata Elxsi</v>
      </c>
      <c r="U42" s="27" t="s">
        <v>196</v>
      </c>
    </row>
    <row r="43">
      <c r="A43" s="27" t="s">
        <v>168</v>
      </c>
      <c r="B43" s="27">
        <v>3.0</v>
      </c>
      <c r="T43" s="27" t="str">
        <f>IFERROR(__xludf.DUMMYFUNCTION("""COMPUTED_VALUE"""),"TCS")</f>
        <v>TCS</v>
      </c>
      <c r="U43" s="27" t="s">
        <v>125</v>
      </c>
    </row>
    <row r="44">
      <c r="A44" s="27" t="s">
        <v>104</v>
      </c>
      <c r="B44" s="27">
        <v>21.0</v>
      </c>
      <c r="T44" s="27" t="str">
        <f>IFERROR(__xludf.DUMMYFUNCTION("""COMPUTED_VALUE"""),"Ultra Engineering Works")</f>
        <v>Ultra Engineering Works</v>
      </c>
      <c r="U44" s="27" t="s">
        <v>198</v>
      </c>
    </row>
    <row r="45">
      <c r="A45" s="27" t="s">
        <v>104</v>
      </c>
      <c r="B45" s="27">
        <v>27.0</v>
      </c>
      <c r="T45" s="27" t="str">
        <f>IFERROR(__xludf.DUMMYFUNCTION("""COMPUTED_VALUE"""),"Value Health")</f>
        <v>Value Health</v>
      </c>
      <c r="U45" s="27" t="s">
        <v>200</v>
      </c>
    </row>
    <row r="46">
      <c r="A46" s="27" t="s">
        <v>143</v>
      </c>
      <c r="B46" s="27">
        <v>4.25</v>
      </c>
      <c r="T46" s="27" t="str">
        <f>IFERROR(__xludf.DUMMYFUNCTION("""COMPUTED_VALUE"""),"Vindsol")</f>
        <v>Vindsol</v>
      </c>
      <c r="U46" s="27" t="s">
        <v>201</v>
      </c>
    </row>
    <row r="47">
      <c r="A47" s="27" t="s">
        <v>170</v>
      </c>
      <c r="B47" s="27">
        <v>3.5</v>
      </c>
      <c r="T47" s="27" t="str">
        <f>IFERROR(__xludf.DUMMYFUNCTION("""COMPUTED_VALUE"""),"Virtual Maze")</f>
        <v>Virtual Maze</v>
      </c>
      <c r="U47" s="27" t="s">
        <v>202</v>
      </c>
    </row>
    <row r="48">
      <c r="A48" s="27" t="s">
        <v>171</v>
      </c>
      <c r="B48" s="27">
        <v>3.5</v>
      </c>
      <c r="T48" s="27" t="str">
        <f>IFERROR(__xludf.DUMMYFUNCTION("""COMPUTED_VALUE"""),"VISHWAA APPARELS")</f>
        <v>VISHWAA APPARELS</v>
      </c>
      <c r="U48" s="27" t="s">
        <v>203</v>
      </c>
    </row>
    <row r="49">
      <c r="A49" s="27" t="s">
        <v>146</v>
      </c>
      <c r="B49" s="27">
        <v>4.0</v>
      </c>
      <c r="T49" s="27" t="str">
        <f>IFERROR(__xludf.DUMMYFUNCTION("""COMPUTED_VALUE"""),"Viswa Envirotech")</f>
        <v>Viswa Envirotech</v>
      </c>
      <c r="U49" s="27" t="s">
        <v>204</v>
      </c>
    </row>
    <row r="50">
      <c r="A50" s="27" t="s">
        <v>149</v>
      </c>
      <c r="B50" s="27">
        <v>4.5</v>
      </c>
      <c r="T50" s="27" t="str">
        <f>IFERROR(__xludf.DUMMYFUNCTION("""COMPUTED_VALUE"""),"Yuvi Labs and Technologies")</f>
        <v>Yuvi Labs and Technologies</v>
      </c>
      <c r="U50" s="27" t="s">
        <v>205</v>
      </c>
    </row>
    <row r="51">
      <c r="A51" s="27" t="s">
        <v>151</v>
      </c>
      <c r="B51" s="27">
        <v>3.5</v>
      </c>
      <c r="U51" s="27"/>
    </row>
    <row r="52">
      <c r="A52" s="27" t="s">
        <v>151</v>
      </c>
      <c r="B52" s="27">
        <v>4.0</v>
      </c>
    </row>
    <row r="53">
      <c r="A53" s="27" t="s">
        <v>151</v>
      </c>
      <c r="B53" s="27">
        <v>4.5</v>
      </c>
    </row>
    <row r="54">
      <c r="A54" s="27" t="s">
        <v>176</v>
      </c>
      <c r="B54" s="27">
        <v>3.0</v>
      </c>
    </row>
    <row r="55">
      <c r="A55" s="27" t="s">
        <v>177</v>
      </c>
      <c r="B55" s="27">
        <v>3.0</v>
      </c>
    </row>
    <row r="56">
      <c r="A56" s="27" t="s">
        <v>153</v>
      </c>
      <c r="B56" s="27">
        <v>4.0</v>
      </c>
    </row>
    <row r="57">
      <c r="A57" s="27" t="s">
        <v>121</v>
      </c>
      <c r="B57" s="27">
        <v>5.5</v>
      </c>
    </row>
    <row r="58">
      <c r="A58" s="27" t="s">
        <v>179</v>
      </c>
      <c r="B58" s="27">
        <v>3.6</v>
      </c>
    </row>
    <row r="59">
      <c r="A59" s="27" t="s">
        <v>156</v>
      </c>
      <c r="B59" s="27">
        <v>3.6</v>
      </c>
    </row>
    <row r="60">
      <c r="A60" s="27" t="s">
        <v>156</v>
      </c>
      <c r="B60" s="27">
        <v>4.0</v>
      </c>
    </row>
    <row r="61">
      <c r="A61" s="27" t="s">
        <v>97</v>
      </c>
      <c r="B61" s="27">
        <v>7.2</v>
      </c>
    </row>
    <row r="62">
      <c r="A62" s="27" t="s">
        <v>97</v>
      </c>
      <c r="B62" s="27">
        <v>10.2</v>
      </c>
    </row>
    <row r="63">
      <c r="A63" s="27" t="s">
        <v>117</v>
      </c>
      <c r="B63" s="27">
        <v>17.0</v>
      </c>
    </row>
    <row r="64">
      <c r="A64" s="27" t="s">
        <v>128</v>
      </c>
      <c r="B64" s="27">
        <v>5.0</v>
      </c>
    </row>
    <row r="65">
      <c r="A65" s="27" t="s">
        <v>180</v>
      </c>
      <c r="B65" s="27">
        <v>3.0</v>
      </c>
    </row>
    <row r="66">
      <c r="A66" s="27" t="s">
        <v>124</v>
      </c>
      <c r="B66" s="27">
        <v>44.0</v>
      </c>
    </row>
    <row r="67">
      <c r="A67" s="27" t="s">
        <v>181</v>
      </c>
      <c r="B67" s="27">
        <v>3.0</v>
      </c>
    </row>
    <row r="68">
      <c r="A68" s="27" t="s">
        <v>131</v>
      </c>
      <c r="B68" s="27">
        <v>10.0</v>
      </c>
    </row>
    <row r="69">
      <c r="A69" s="27" t="s">
        <v>158</v>
      </c>
      <c r="B69" s="27">
        <v>4.0</v>
      </c>
    </row>
    <row r="70">
      <c r="A70" s="27" t="s">
        <v>161</v>
      </c>
      <c r="B70" s="27">
        <v>4.0</v>
      </c>
    </row>
    <row r="71">
      <c r="A71" s="27" t="s">
        <v>105</v>
      </c>
      <c r="B71" s="27">
        <v>7.5</v>
      </c>
    </row>
    <row r="72">
      <c r="A72" s="27" t="s">
        <v>182</v>
      </c>
      <c r="B72" s="27">
        <v>3.0</v>
      </c>
    </row>
    <row r="73">
      <c r="A73" s="27" t="s">
        <v>183</v>
      </c>
      <c r="B73" s="27">
        <v>3.0</v>
      </c>
    </row>
    <row r="74">
      <c r="A74" s="27" t="s">
        <v>111</v>
      </c>
      <c r="B74" s="27">
        <v>8.5</v>
      </c>
    </row>
    <row r="75">
      <c r="A75" s="27" t="s">
        <v>184</v>
      </c>
      <c r="B75" s="27">
        <v>3.0</v>
      </c>
    </row>
    <row r="76">
      <c r="A76" s="27" t="s">
        <v>186</v>
      </c>
      <c r="B76" s="27">
        <v>3.0</v>
      </c>
    </row>
    <row r="77">
      <c r="A77" s="27" t="s">
        <v>187</v>
      </c>
      <c r="B77" s="27">
        <v>3.0</v>
      </c>
    </row>
    <row r="78">
      <c r="A78" s="27" t="s">
        <v>188</v>
      </c>
      <c r="B78" s="27">
        <v>3.5</v>
      </c>
    </row>
    <row r="79">
      <c r="A79" s="27" t="s">
        <v>189</v>
      </c>
      <c r="B79" s="27">
        <v>3.0</v>
      </c>
    </row>
    <row r="80">
      <c r="A80" s="27" t="s">
        <v>190</v>
      </c>
      <c r="B80" s="27">
        <v>3.0</v>
      </c>
    </row>
    <row r="81">
      <c r="A81" s="27" t="s">
        <v>137</v>
      </c>
      <c r="B81" s="27">
        <v>5.25</v>
      </c>
    </row>
    <row r="82">
      <c r="A82" s="27" t="s">
        <v>191</v>
      </c>
      <c r="B82" s="27">
        <v>3.0</v>
      </c>
    </row>
    <row r="83">
      <c r="A83" s="27" t="s">
        <v>192</v>
      </c>
      <c r="B83" s="27">
        <v>3.6</v>
      </c>
    </row>
    <row r="84">
      <c r="A84" s="27" t="s">
        <v>132</v>
      </c>
      <c r="B84" s="27">
        <v>10.0</v>
      </c>
    </row>
    <row r="85">
      <c r="A85" s="27" t="s">
        <v>194</v>
      </c>
      <c r="B85" s="27">
        <v>3.0</v>
      </c>
    </row>
    <row r="86">
      <c r="A86" s="27" t="s">
        <v>195</v>
      </c>
      <c r="B86" s="27">
        <v>3.0</v>
      </c>
    </row>
    <row r="87">
      <c r="A87" s="27" t="s">
        <v>118</v>
      </c>
      <c r="B87" s="27">
        <v>8.0</v>
      </c>
    </row>
    <row r="88">
      <c r="A88" s="27" t="s">
        <v>163</v>
      </c>
      <c r="B88" s="27">
        <v>4.0</v>
      </c>
    </row>
    <row r="89">
      <c r="A89" s="27" t="s">
        <v>142</v>
      </c>
      <c r="B89" s="27">
        <v>5.0</v>
      </c>
    </row>
    <row r="90">
      <c r="A90" s="27" t="s">
        <v>196</v>
      </c>
      <c r="B90" s="27">
        <v>3.5</v>
      </c>
    </row>
    <row r="91">
      <c r="A91" s="27" t="s">
        <v>125</v>
      </c>
      <c r="B91" s="27">
        <v>3.46</v>
      </c>
    </row>
    <row r="92">
      <c r="A92" s="27" t="s">
        <v>125</v>
      </c>
      <c r="B92" s="27">
        <v>7.09</v>
      </c>
    </row>
    <row r="93">
      <c r="A93" s="27" t="s">
        <v>125</v>
      </c>
      <c r="B93" s="27">
        <v>9.09</v>
      </c>
    </row>
    <row r="94">
      <c r="A94" s="27" t="s">
        <v>119</v>
      </c>
      <c r="B94" s="27">
        <v>6.16</v>
      </c>
    </row>
    <row r="95">
      <c r="A95" s="27" t="s">
        <v>126</v>
      </c>
      <c r="B95" s="27">
        <v>6.0</v>
      </c>
    </row>
    <row r="96">
      <c r="A96" s="27" t="s">
        <v>165</v>
      </c>
      <c r="B96" s="27">
        <v>4.5</v>
      </c>
    </row>
    <row r="97">
      <c r="A97" s="27" t="s">
        <v>167</v>
      </c>
      <c r="B97" s="27">
        <v>4.2</v>
      </c>
    </row>
    <row r="98">
      <c r="A98" s="27" t="s">
        <v>198</v>
      </c>
      <c r="B98" s="27">
        <v>3.5</v>
      </c>
    </row>
    <row r="99">
      <c r="A99" s="27" t="s">
        <v>200</v>
      </c>
      <c r="B99" s="27">
        <v>3.5</v>
      </c>
    </row>
    <row r="100">
      <c r="A100" s="27" t="s">
        <v>201</v>
      </c>
      <c r="B100" s="27">
        <v>3.5</v>
      </c>
    </row>
    <row r="101">
      <c r="A101" s="27" t="s">
        <v>202</v>
      </c>
      <c r="B101" s="27">
        <v>3.0</v>
      </c>
    </row>
    <row r="102">
      <c r="A102" s="27" t="s">
        <v>203</v>
      </c>
      <c r="B102" s="27">
        <v>3.08</v>
      </c>
    </row>
    <row r="103">
      <c r="A103" s="27" t="s">
        <v>133</v>
      </c>
      <c r="B103" s="27">
        <v>7.0</v>
      </c>
    </row>
    <row r="104">
      <c r="A104" s="27" t="s">
        <v>204</v>
      </c>
      <c r="B104" s="27">
        <v>3.0</v>
      </c>
    </row>
    <row r="105">
      <c r="A105" s="27" t="s">
        <v>169</v>
      </c>
      <c r="B105" s="27">
        <v>4.0</v>
      </c>
    </row>
    <row r="106">
      <c r="A106" s="27" t="s">
        <v>145</v>
      </c>
      <c r="B106" s="27">
        <v>5.0</v>
      </c>
    </row>
    <row r="107">
      <c r="A107" s="27" t="s">
        <v>205</v>
      </c>
      <c r="B107" s="27">
        <v>3.6</v>
      </c>
    </row>
    <row r="108">
      <c r="A108" s="27" t="s">
        <v>148</v>
      </c>
      <c r="B108" s="27">
        <v>5.0</v>
      </c>
    </row>
    <row r="109">
      <c r="A109" s="27" t="s">
        <v>135</v>
      </c>
      <c r="B109" s="27">
        <v>4.8</v>
      </c>
    </row>
    <row r="110">
      <c r="A110" s="27" t="s">
        <v>135</v>
      </c>
      <c r="B110" s="27">
        <v>6.0</v>
      </c>
    </row>
    <row r="111">
      <c r="A111" s="27" t="s">
        <v>135</v>
      </c>
      <c r="B111" s="27">
        <v>7.2</v>
      </c>
    </row>
    <row r="112">
      <c r="A112" s="27"/>
      <c r="B112" s="27"/>
    </row>
  </sheetData>
  <hyperlinks>
    <hyperlink r:id="rId1" ref="N5"/>
    <hyperlink r:id="rId2" ref="O5"/>
    <hyperlink r:id="rId3" ref="A20"/>
  </hyperlinks>
  <drawing r:id="rId4"/>
</worksheet>
</file>